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0" windowWidth="19545" windowHeight="7890" tabRatio="302"/>
  </bookViews>
  <sheets>
    <sheet name="2026" sheetId="1" r:id="rId1"/>
    <sheet name="Hoja1" sheetId="2" r:id="rId2"/>
  </sheets>
  <calcPr calcId="125725"/>
</workbook>
</file>

<file path=xl/calcChain.xml><?xml version="1.0" encoding="utf-8"?>
<calcChain xmlns="http://schemas.openxmlformats.org/spreadsheetml/2006/main">
  <c r="F2565" i="1"/>
  <c r="E2565"/>
  <c r="J2555"/>
  <c r="I2555"/>
  <c r="F2555"/>
  <c r="E2555"/>
  <c r="J2545"/>
  <c r="I2545"/>
  <c r="F2545" l="1"/>
  <c r="E2545"/>
  <c r="J2535"/>
  <c r="I2535"/>
  <c r="F2535"/>
  <c r="E2535"/>
  <c r="J2525"/>
  <c r="I2525"/>
  <c r="F2525" l="1"/>
  <c r="E2525"/>
  <c r="F2506" l="1"/>
  <c r="E2506"/>
  <c r="J2496"/>
  <c r="I2496"/>
  <c r="F2496"/>
  <c r="E2496"/>
  <c r="J2486"/>
  <c r="I2486"/>
  <c r="F2486"/>
  <c r="E2486"/>
  <c r="J2476" l="1"/>
  <c r="I2476"/>
  <c r="F2476"/>
  <c r="E2476"/>
  <c r="J2466" l="1"/>
  <c r="I2466"/>
  <c r="F2466"/>
  <c r="E2466"/>
  <c r="J2456"/>
  <c r="I2456"/>
  <c r="F2456"/>
  <c r="E2456"/>
  <c r="J2446"/>
  <c r="I2446"/>
  <c r="F2446"/>
  <c r="E2446"/>
  <c r="J2436"/>
  <c r="I2436"/>
  <c r="F2436"/>
  <c r="E2436"/>
  <c r="J2426"/>
  <c r="I2426"/>
  <c r="F2426"/>
  <c r="E2426"/>
  <c r="J2416"/>
  <c r="I2416"/>
  <c r="F2416" l="1"/>
  <c r="E2416"/>
  <c r="J2406"/>
  <c r="I2406"/>
  <c r="F2406"/>
  <c r="E2406"/>
  <c r="J2397"/>
  <c r="I2397"/>
  <c r="F2397"/>
  <c r="E2397"/>
  <c r="J2383" l="1"/>
  <c r="I2383"/>
  <c r="F2383"/>
  <c r="E2383"/>
  <c r="J2373"/>
  <c r="I2373"/>
  <c r="F2373" l="1"/>
  <c r="E2373"/>
  <c r="J2363" l="1"/>
  <c r="I2363"/>
  <c r="F2363"/>
  <c r="E2363"/>
  <c r="J2353"/>
  <c r="I2353"/>
  <c r="F2353" l="1"/>
  <c r="E2353"/>
  <c r="J2343" l="1"/>
  <c r="I2343"/>
  <c r="F2343"/>
  <c r="E2343"/>
  <c r="J2333"/>
  <c r="I2333"/>
  <c r="F2333"/>
  <c r="E2333"/>
  <c r="J2323"/>
  <c r="I2323"/>
  <c r="F2323"/>
  <c r="E2323"/>
  <c r="J2313" l="1"/>
  <c r="I2313"/>
  <c r="F2313"/>
  <c r="E2313"/>
  <c r="J2303" l="1"/>
  <c r="I2303"/>
  <c r="F2303" l="1"/>
  <c r="E2303"/>
  <c r="J2293"/>
  <c r="I2293"/>
  <c r="F2293"/>
  <c r="E2293"/>
  <c r="F2278"/>
  <c r="E2278"/>
  <c r="J2268"/>
  <c r="I2268"/>
  <c r="F2268"/>
  <c r="E2268"/>
  <c r="J2258"/>
  <c r="I2258"/>
  <c r="F2258"/>
  <c r="E2258"/>
  <c r="J2248" l="1"/>
  <c r="I2248"/>
  <c r="F2248"/>
  <c r="E2248"/>
  <c r="J2238" l="1"/>
  <c r="I2238"/>
  <c r="F2238" l="1"/>
  <c r="E2238"/>
  <c r="J2228" l="1"/>
  <c r="I2228"/>
  <c r="F2228" l="1"/>
  <c r="E2228"/>
  <c r="J2218"/>
  <c r="I2218"/>
  <c r="F2218"/>
  <c r="E2218"/>
  <c r="I2208" l="1"/>
  <c r="J2208" l="1"/>
  <c r="F2208"/>
  <c r="E2208"/>
  <c r="J2198" l="1"/>
  <c r="I2198"/>
  <c r="F2198" l="1"/>
  <c r="E2198"/>
  <c r="J2188" l="1"/>
  <c r="I2188"/>
  <c r="F2188"/>
  <c r="E2188"/>
  <c r="J2178" l="1"/>
  <c r="I2178"/>
  <c r="F2178" l="1"/>
  <c r="E2178"/>
  <c r="J2168"/>
  <c r="I2168"/>
  <c r="F2168" l="1"/>
  <c r="E2168"/>
  <c r="F2154" l="1"/>
  <c r="E2154"/>
  <c r="J2144" l="1"/>
  <c r="I2144"/>
  <c r="F2144" l="1"/>
  <c r="E2144"/>
  <c r="J2134" l="1"/>
  <c r="I2134"/>
  <c r="F2134"/>
  <c r="E2134"/>
  <c r="J2124"/>
  <c r="I2124"/>
  <c r="F2124" l="1"/>
  <c r="E2124"/>
  <c r="J2114"/>
  <c r="I2114"/>
  <c r="F2114" l="1"/>
  <c r="E2114"/>
  <c r="J2104" l="1"/>
  <c r="I2104"/>
  <c r="F2104"/>
  <c r="E2104"/>
  <c r="J2094"/>
  <c r="I2094"/>
  <c r="F2094" l="1"/>
  <c r="E2094"/>
  <c r="J2084" l="1"/>
  <c r="I2084"/>
  <c r="F2084"/>
  <c r="E2084"/>
  <c r="J2074" l="1"/>
  <c r="I2074"/>
  <c r="F2074"/>
  <c r="E2074"/>
  <c r="J2064" l="1"/>
  <c r="I2064"/>
  <c r="F2064" l="1"/>
  <c r="E2064"/>
  <c r="J2055" l="1"/>
  <c r="I2055"/>
  <c r="F2055" l="1"/>
  <c r="E2055"/>
  <c r="J2045"/>
  <c r="I2045"/>
  <c r="F2045" l="1"/>
  <c r="E2045"/>
  <c r="F2030"/>
  <c r="E2030"/>
  <c r="J2020"/>
  <c r="I2020"/>
  <c r="F2020" l="1"/>
  <c r="E2020"/>
  <c r="J2010" l="1"/>
  <c r="I2010"/>
  <c r="F2010"/>
  <c r="E2010"/>
  <c r="J2000" l="1"/>
  <c r="I2000"/>
  <c r="F2000"/>
  <c r="E2000"/>
  <c r="J1991" l="1"/>
  <c r="I1991"/>
  <c r="F1991" l="1"/>
  <c r="E1991"/>
  <c r="J1981" l="1"/>
  <c r="I1981"/>
  <c r="F1981" l="1"/>
  <c r="E1981"/>
  <c r="J1971"/>
  <c r="I1971"/>
  <c r="F1971" l="1"/>
  <c r="E1971"/>
  <c r="J1961" l="1"/>
  <c r="I1961"/>
  <c r="F1961"/>
  <c r="E1961"/>
  <c r="J1951" l="1"/>
  <c r="I1951"/>
  <c r="F1951"/>
  <c r="E1951"/>
  <c r="J1941" l="1"/>
  <c r="I1941"/>
  <c r="F1941"/>
  <c r="E1941"/>
  <c r="J1931" l="1"/>
  <c r="I1931"/>
  <c r="F1931" l="1"/>
  <c r="E1931"/>
  <c r="J1917" l="1"/>
  <c r="I1917"/>
  <c r="F1917"/>
  <c r="E1917"/>
  <c r="J1907" l="1"/>
  <c r="I1907"/>
  <c r="F1907" l="1"/>
  <c r="E1907" l="1"/>
  <c r="J1897" l="1"/>
  <c r="I1897"/>
  <c r="F1897" l="1"/>
  <c r="E1897"/>
  <c r="I1887" l="1"/>
  <c r="J1887"/>
  <c r="F1887" l="1"/>
  <c r="E1887"/>
  <c r="J1877" l="1"/>
  <c r="I1877"/>
  <c r="F1877"/>
  <c r="E1877"/>
  <c r="J1867"/>
  <c r="I1867"/>
  <c r="E1867"/>
  <c r="F1867"/>
  <c r="I1857"/>
  <c r="J1857"/>
  <c r="F1857" l="1"/>
  <c r="E1857"/>
  <c r="I1847" l="1"/>
  <c r="J1847"/>
  <c r="F1847" l="1"/>
  <c r="E1847"/>
  <c r="I1837" l="1"/>
  <c r="J1837" l="1"/>
  <c r="F1837" l="1"/>
  <c r="E1837"/>
  <c r="I1828" l="1"/>
  <c r="J1828"/>
  <c r="F1828" l="1"/>
  <c r="E1828"/>
  <c r="J1815" l="1"/>
  <c r="I1815"/>
  <c r="F1815" l="1"/>
  <c r="E1815"/>
  <c r="J1806"/>
  <c r="I1806"/>
  <c r="F1806" l="1"/>
  <c r="E1806"/>
  <c r="J1797" l="1"/>
  <c r="I1797"/>
  <c r="F1797" l="1"/>
  <c r="E1797"/>
  <c r="J1788"/>
  <c r="I1788" l="1"/>
  <c r="E1788"/>
  <c r="I1779"/>
  <c r="E1779"/>
  <c r="F1779"/>
  <c r="J1770" l="1"/>
  <c r="I1770"/>
  <c r="F1770" l="1"/>
  <c r="E1770"/>
  <c r="J1761"/>
  <c r="I1761"/>
  <c r="F1761" l="1"/>
  <c r="E1761"/>
  <c r="J1752" l="1"/>
  <c r="I1752"/>
  <c r="E1752"/>
  <c r="F1752" l="1"/>
  <c r="J1743"/>
  <c r="I1743"/>
  <c r="E1743" l="1"/>
  <c r="F1743"/>
  <c r="J1734"/>
  <c r="I1734" l="1"/>
  <c r="F1734"/>
  <c r="E1734"/>
  <c r="I1725" l="1"/>
  <c r="J1725"/>
  <c r="F1725"/>
  <c r="E1725" l="1"/>
  <c r="E1713"/>
  <c r="F1713"/>
  <c r="J1704" l="1"/>
  <c r="I1704"/>
  <c r="E1704"/>
  <c r="F1704"/>
  <c r="J1695" l="1"/>
  <c r="I1695"/>
  <c r="F1695"/>
  <c r="E1695"/>
  <c r="J1684"/>
  <c r="J1686" s="1"/>
  <c r="I1686" l="1"/>
  <c r="E1686"/>
  <c r="F1686"/>
  <c r="J1677"/>
  <c r="F1677" l="1"/>
  <c r="E1668" l="1"/>
  <c r="F1668" l="1"/>
  <c r="F1557"/>
  <c r="F1659"/>
  <c r="J1650"/>
  <c r="J1659"/>
  <c r="I1659" l="1"/>
  <c r="E1659" l="1"/>
  <c r="I1650"/>
  <c r="F1650"/>
  <c r="E1650"/>
  <c r="J1641"/>
  <c r="I1641"/>
  <c r="E1641"/>
  <c r="F1641"/>
  <c r="J1632"/>
  <c r="I1632"/>
  <c r="F1632"/>
  <c r="E1632"/>
  <c r="I1623"/>
  <c r="J1623" l="1"/>
  <c r="F1623" l="1"/>
  <c r="F1614"/>
  <c r="J1614"/>
  <c r="E1623"/>
  <c r="I1614"/>
  <c r="E1614"/>
  <c r="J1587"/>
  <c r="I1587"/>
  <c r="F1587"/>
  <c r="E1587"/>
  <c r="J1578"/>
  <c r="I1578"/>
  <c r="F1578"/>
  <c r="E1578"/>
  <c r="J1569"/>
  <c r="I1569"/>
  <c r="J1605" l="1"/>
  <c r="I1605"/>
  <c r="F1605"/>
  <c r="E1605"/>
  <c r="J1596" l="1"/>
  <c r="I1596"/>
  <c r="E1596" l="1"/>
  <c r="F1596"/>
  <c r="F1517" l="1"/>
  <c r="E1517"/>
  <c r="J1509"/>
  <c r="I1509"/>
  <c r="F1509"/>
  <c r="E1509"/>
  <c r="J1501"/>
  <c r="I1501"/>
  <c r="F1501"/>
  <c r="E1501"/>
  <c r="J1493"/>
  <c r="I1493"/>
  <c r="F1493"/>
  <c r="E1493"/>
  <c r="J1485"/>
  <c r="I1485"/>
  <c r="F1485" l="1"/>
  <c r="E1485"/>
  <c r="J1477"/>
  <c r="I1477"/>
  <c r="F1477"/>
  <c r="E1477"/>
  <c r="J1469" l="1"/>
  <c r="I1469"/>
  <c r="F1469"/>
  <c r="E1469"/>
  <c r="J1461"/>
  <c r="I1461"/>
  <c r="F1461"/>
  <c r="E1461"/>
  <c r="J1453" l="1"/>
  <c r="I1453"/>
  <c r="F1453"/>
  <c r="E1453"/>
  <c r="J1445"/>
  <c r="I1445"/>
  <c r="F1445"/>
  <c r="E1445"/>
  <c r="J1437"/>
  <c r="I1437"/>
  <c r="F1437"/>
  <c r="E1437"/>
  <c r="J1429"/>
  <c r="I1429"/>
  <c r="F1429" l="1"/>
  <c r="E1429"/>
  <c r="J1421"/>
  <c r="I1421"/>
  <c r="F1421" l="1"/>
  <c r="E1421"/>
  <c r="J1413"/>
  <c r="I1413"/>
  <c r="F1413" l="1"/>
  <c r="E1413"/>
  <c r="J1405" l="1"/>
  <c r="I1405"/>
  <c r="E1396"/>
  <c r="F1396"/>
  <c r="E1405" l="1"/>
  <c r="F1405"/>
  <c r="I1396"/>
  <c r="J1396"/>
  <c r="F1385" l="1"/>
  <c r="F1387" s="1"/>
  <c r="J1385"/>
  <c r="E1387"/>
  <c r="I1387"/>
  <c r="J1387"/>
  <c r="J1367"/>
  <c r="I1378"/>
  <c r="J1376"/>
  <c r="J1378" s="1"/>
  <c r="E1378"/>
  <c r="F1376"/>
  <c r="F1378" s="1"/>
  <c r="I1369"/>
  <c r="J1369"/>
  <c r="J1352"/>
  <c r="F1369" l="1"/>
  <c r="E1369"/>
  <c r="F1359"/>
  <c r="J1351"/>
  <c r="I1361"/>
  <c r="J1361"/>
  <c r="E1361"/>
  <c r="F1360"/>
  <c r="J1283"/>
  <c r="F1353"/>
  <c r="E1353"/>
  <c r="J1345"/>
  <c r="I1345"/>
  <c r="F1345"/>
  <c r="E1345"/>
  <c r="J1337"/>
  <c r="I1337"/>
  <c r="F1361" l="1"/>
  <c r="F1337"/>
  <c r="E1337"/>
  <c r="J1329"/>
  <c r="I1329"/>
  <c r="F1329"/>
  <c r="E1329"/>
  <c r="J1321" l="1"/>
  <c r="I1321"/>
  <c r="F1321"/>
  <c r="E1321"/>
  <c r="J1312"/>
  <c r="I1312"/>
  <c r="F1312"/>
  <c r="E1312"/>
  <c r="J1303"/>
  <c r="I1303"/>
  <c r="F1303"/>
  <c r="E1303"/>
  <c r="F1293" l="1"/>
  <c r="E1293"/>
  <c r="I1283"/>
  <c r="F1285" l="1"/>
  <c r="E1285"/>
  <c r="J1275" l="1"/>
  <c r="I1275"/>
  <c r="J1267"/>
  <c r="I1267"/>
  <c r="F1267"/>
  <c r="E1267"/>
  <c r="J1259"/>
  <c r="I1259"/>
  <c r="F1259"/>
  <c r="E1259"/>
  <c r="J1251"/>
  <c r="I1251"/>
  <c r="F1251"/>
  <c r="E1251"/>
  <c r="J1243"/>
  <c r="I1243"/>
  <c r="F1243"/>
  <c r="E1243"/>
  <c r="J1235" l="1"/>
  <c r="I1235"/>
  <c r="F1235"/>
  <c r="E1235"/>
  <c r="J1227"/>
  <c r="I1227" l="1"/>
  <c r="E1227"/>
  <c r="I1219"/>
  <c r="E1219"/>
  <c r="I1211" l="1"/>
  <c r="E1211"/>
  <c r="I1203"/>
  <c r="E1203"/>
  <c r="I1195"/>
  <c r="E1195"/>
  <c r="I1187"/>
  <c r="E1187"/>
  <c r="I1179"/>
  <c r="E1179"/>
  <c r="I1171" l="1"/>
  <c r="E1171"/>
  <c r="I1163"/>
  <c r="E1163"/>
  <c r="I1155"/>
  <c r="E1155"/>
  <c r="I1147"/>
  <c r="E1147"/>
  <c r="I1139"/>
  <c r="E1139"/>
  <c r="I1131"/>
  <c r="E1131"/>
  <c r="I1123"/>
  <c r="E1123"/>
  <c r="I1115"/>
  <c r="E1115"/>
  <c r="I1107"/>
  <c r="E1107"/>
  <c r="I1099"/>
  <c r="E1099"/>
  <c r="I1091"/>
  <c r="E1091"/>
  <c r="I1083"/>
  <c r="E1083"/>
  <c r="I1075" l="1"/>
  <c r="E1075"/>
  <c r="I1067"/>
  <c r="E1067"/>
  <c r="I1059"/>
  <c r="E1059"/>
  <c r="I1051"/>
  <c r="E1051"/>
  <c r="I1043" l="1"/>
  <c r="E1043"/>
  <c r="I1035" l="1"/>
  <c r="E1035"/>
  <c r="I1027" l="1"/>
  <c r="E1027"/>
  <c r="I1019" l="1"/>
  <c r="E1019"/>
  <c r="I1011" l="1"/>
  <c r="E1011"/>
  <c r="I1003" l="1"/>
  <c r="E1003"/>
  <c r="I995" l="1"/>
  <c r="E995"/>
  <c r="I987"/>
  <c r="E987"/>
  <c r="I979" l="1"/>
  <c r="E979"/>
  <c r="I971" l="1"/>
  <c r="E971"/>
  <c r="I963"/>
  <c r="E963"/>
  <c r="I955"/>
  <c r="E955"/>
  <c r="I947" l="1"/>
  <c r="E947"/>
  <c r="I939"/>
  <c r="E939"/>
  <c r="I931" l="1"/>
  <c r="E931"/>
  <c r="I923" l="1"/>
  <c r="E923"/>
  <c r="J872" l="1"/>
  <c r="I916"/>
  <c r="E916" l="1"/>
  <c r="I908"/>
  <c r="E908"/>
  <c r="I901"/>
  <c r="E900" l="1"/>
  <c r="I893"/>
  <c r="E893" l="1"/>
  <c r="I886"/>
  <c r="E886" l="1"/>
  <c r="I878"/>
  <c r="E878"/>
  <c r="I870"/>
  <c r="E870" l="1"/>
  <c r="I863"/>
  <c r="E862" l="1"/>
  <c r="I854" l="1"/>
  <c r="E854" l="1"/>
  <c r="I845"/>
  <c r="E845"/>
  <c r="I837" l="1"/>
  <c r="I691" l="1"/>
  <c r="I830"/>
  <c r="E830"/>
  <c r="I823" l="1"/>
  <c r="E823" l="1"/>
  <c r="I816" l="1"/>
  <c r="E814" l="1"/>
  <c r="I809"/>
  <c r="E807" l="1"/>
  <c r="I800"/>
  <c r="E797" l="1"/>
  <c r="I793"/>
  <c r="E790"/>
  <c r="I786" l="1"/>
  <c r="E783"/>
  <c r="I779"/>
  <c r="I772"/>
  <c r="E768"/>
  <c r="I765"/>
  <c r="E761" l="1"/>
  <c r="E754"/>
  <c r="I759"/>
  <c r="I750"/>
  <c r="E746"/>
  <c r="I743"/>
  <c r="I735"/>
  <c r="I729"/>
  <c r="E730"/>
  <c r="I722"/>
  <c r="E724"/>
  <c r="E718"/>
  <c r="I716"/>
  <c r="E711"/>
  <c r="I707"/>
  <c r="E704" l="1"/>
  <c r="I698"/>
  <c r="I700" s="1"/>
  <c r="E697"/>
  <c r="E690"/>
  <c r="I684" l="1"/>
  <c r="E683"/>
  <c r="E616"/>
  <c r="B616" l="1"/>
  <c r="I606"/>
  <c r="E606"/>
  <c r="B606"/>
  <c r="I596" l="1"/>
  <c r="E596"/>
  <c r="B596"/>
  <c r="I586"/>
  <c r="E586"/>
  <c r="B575" l="1"/>
  <c r="E575"/>
  <c r="I575"/>
  <c r="B586"/>
  <c r="I566" l="1"/>
  <c r="E566"/>
  <c r="B566" l="1"/>
  <c r="I557"/>
  <c r="E557"/>
  <c r="B557"/>
  <c r="I548"/>
  <c r="E548"/>
  <c r="B548"/>
  <c r="I539"/>
  <c r="E539"/>
  <c r="B539"/>
  <c r="I530" l="1"/>
  <c r="E530" l="1"/>
  <c r="B530"/>
  <c r="I521"/>
  <c r="E521"/>
  <c r="B521" l="1"/>
  <c r="I512" l="1"/>
  <c r="E512"/>
  <c r="B512" l="1"/>
  <c r="I502"/>
  <c r="E502"/>
  <c r="B502"/>
  <c r="I493" l="1"/>
  <c r="E493"/>
  <c r="B493"/>
  <c r="I483" l="1"/>
  <c r="E483" l="1"/>
  <c r="B483"/>
  <c r="I474"/>
  <c r="E474"/>
  <c r="B474"/>
  <c r="I464"/>
  <c r="E464" l="1"/>
  <c r="B464"/>
  <c r="I455" l="1"/>
  <c r="E455"/>
  <c r="B455" l="1"/>
  <c r="I447"/>
  <c r="E447"/>
  <c r="B447" l="1"/>
  <c r="I439" l="1"/>
  <c r="E439" l="1"/>
  <c r="B439"/>
  <c r="I431"/>
  <c r="E431"/>
  <c r="B431" l="1"/>
  <c r="I423"/>
  <c r="E423"/>
  <c r="B423"/>
  <c r="I415" l="1"/>
  <c r="E415"/>
  <c r="B415" l="1"/>
  <c r="I408" l="1"/>
  <c r="E408" l="1"/>
  <c r="I401" l="1"/>
  <c r="E400"/>
  <c r="I394"/>
  <c r="E394"/>
  <c r="I388"/>
  <c r="E389"/>
  <c r="K377"/>
  <c r="K369"/>
  <c r="I381"/>
  <c r="E382"/>
  <c r="I374"/>
  <c r="E374"/>
  <c r="I368"/>
  <c r="K362"/>
  <c r="I361"/>
  <c r="E359"/>
  <c r="K355"/>
  <c r="I354"/>
  <c r="E352"/>
  <c r="K348"/>
  <c r="K342"/>
  <c r="I343"/>
  <c r="I347" s="1"/>
  <c r="E346"/>
  <c r="K335"/>
  <c r="I338"/>
  <c r="E338"/>
  <c r="K328"/>
  <c r="I331"/>
  <c r="E331"/>
  <c r="K321"/>
  <c r="I323"/>
  <c r="I316"/>
  <c r="E322"/>
  <c r="K313"/>
  <c r="E313"/>
  <c r="K305"/>
  <c r="I309" l="1"/>
  <c r="E305"/>
  <c r="K297"/>
  <c r="I298"/>
  <c r="E298"/>
  <c r="K290"/>
  <c r="I290"/>
  <c r="E290"/>
  <c r="K282"/>
  <c r="I281"/>
  <c r="K275"/>
  <c r="I274"/>
  <c r="E271"/>
  <c r="K268"/>
  <c r="I266"/>
  <c r="E263"/>
  <c r="K260"/>
  <c r="I259"/>
  <c r="E257"/>
  <c r="K253"/>
  <c r="I252"/>
  <c r="E250"/>
  <c r="K246"/>
  <c r="I245"/>
  <c r="E243"/>
  <c r="K238"/>
  <c r="I238"/>
  <c r="E236"/>
  <c r="K231"/>
  <c r="I232"/>
  <c r="E228"/>
  <c r="K223"/>
  <c r="I224"/>
  <c r="E220"/>
  <c r="K217"/>
  <c r="I217"/>
  <c r="E214"/>
  <c r="K210"/>
  <c r="I209"/>
  <c r="E207"/>
  <c r="K203"/>
  <c r="I202"/>
  <c r="E200"/>
  <c r="K196"/>
  <c r="I196"/>
  <c r="K189"/>
  <c r="I189"/>
  <c r="E194"/>
  <c r="K182"/>
  <c r="I183"/>
  <c r="E183"/>
  <c r="K176"/>
  <c r="I177"/>
  <c r="E176"/>
  <c r="K170"/>
  <c r="I171"/>
  <c r="K164"/>
  <c r="I165"/>
  <c r="E169"/>
  <c r="K158"/>
  <c r="K150"/>
  <c r="E160"/>
  <c r="I156"/>
  <c r="I149"/>
  <c r="E152"/>
  <c r="K143"/>
  <c r="I143"/>
  <c r="E146"/>
  <c r="K136"/>
  <c r="I137"/>
  <c r="E138"/>
  <c r="K130"/>
  <c r="I130"/>
  <c r="E131"/>
  <c r="K123"/>
  <c r="I123"/>
  <c r="E124"/>
  <c r="K117"/>
  <c r="I116"/>
  <c r="E118"/>
  <c r="K109"/>
  <c r="I108"/>
  <c r="E109"/>
  <c r="L102"/>
  <c r="E101"/>
  <c r="K95"/>
  <c r="I94"/>
  <c r="E95"/>
  <c r="K89"/>
  <c r="I88"/>
  <c r="E88"/>
  <c r="B86"/>
  <c r="K82"/>
  <c r="I83"/>
  <c r="K75"/>
  <c r="E81"/>
  <c r="I76"/>
  <c r="E74"/>
  <c r="K67"/>
  <c r="I69"/>
  <c r="E67"/>
  <c r="K61"/>
  <c r="I62"/>
  <c r="E60"/>
  <c r="K54"/>
  <c r="I54"/>
  <c r="E54"/>
  <c r="B56"/>
  <c r="K48"/>
  <c r="I47"/>
  <c r="E48"/>
  <c r="B48"/>
  <c r="K40"/>
  <c r="I39"/>
  <c r="E40"/>
  <c r="B42"/>
  <c r="K33"/>
  <c r="I33"/>
  <c r="E33"/>
  <c r="B34"/>
  <c r="K27"/>
  <c r="I26"/>
  <c r="E27"/>
  <c r="B26"/>
  <c r="K19"/>
  <c r="I18"/>
  <c r="E20"/>
  <c r="B18"/>
  <c r="B20" s="1"/>
  <c r="K12"/>
  <c r="I12"/>
  <c r="E13"/>
  <c r="B12"/>
  <c r="K6"/>
  <c r="I6"/>
  <c r="E6"/>
  <c r="B5"/>
  <c r="J1353" l="1"/>
  <c r="I1353"/>
  <c r="E837"/>
</calcChain>
</file>

<file path=xl/sharedStrings.xml><?xml version="1.0" encoding="utf-8"?>
<sst xmlns="http://schemas.openxmlformats.org/spreadsheetml/2006/main" count="4726" uniqueCount="492">
  <si>
    <t xml:space="preserve">REPORTE DIARIO DE PRODUCCIÒN </t>
  </si>
  <si>
    <t>FECHA:</t>
  </si>
  <si>
    <t>DISEÑO</t>
  </si>
  <si>
    <t>Nº GOLPES</t>
  </si>
  <si>
    <t>TOTAL</t>
  </si>
  <si>
    <t>CARS</t>
  </si>
  <si>
    <t>MINNIE</t>
  </si>
  <si>
    <t>NIÑA NOVAVENTA</t>
  </si>
  <si>
    <t>BUZZ</t>
  </si>
  <si>
    <t>BAILARINA MARKETING</t>
  </si>
  <si>
    <t>MICKEY</t>
  </si>
  <si>
    <t>WOODY</t>
  </si>
  <si>
    <t>MOTO DINO</t>
  </si>
  <si>
    <t>NIÑO NOVAVENTA</t>
  </si>
  <si>
    <t>CENICIENTA</t>
  </si>
  <si>
    <t>ARIEL</t>
  </si>
  <si>
    <t>BELLA</t>
  </si>
  <si>
    <t>FRUTA ANDU</t>
  </si>
  <si>
    <t>VACA ANDU</t>
  </si>
  <si>
    <t>BOB SPONJA</t>
  </si>
  <si>
    <t>CHASE</t>
  </si>
  <si>
    <t>RAYAS M</t>
  </si>
  <si>
    <t>NAUTICA</t>
  </si>
  <si>
    <t>RAYAS H</t>
  </si>
  <si>
    <t>TORONJA</t>
  </si>
  <si>
    <t>FRUTAS ANDU</t>
  </si>
  <si>
    <t>ISABELLA</t>
  </si>
  <si>
    <t>UNICORNIO</t>
  </si>
  <si>
    <t>GAME</t>
  </si>
  <si>
    <t>RAYAS</t>
  </si>
  <si>
    <t>SKYE</t>
  </si>
  <si>
    <t>QEFRUTAS</t>
  </si>
  <si>
    <t>QEGRANJA</t>
  </si>
  <si>
    <t>MINNIE ROSADA</t>
  </si>
  <si>
    <t>MARIE</t>
  </si>
  <si>
    <t>REY LEON</t>
  </si>
  <si>
    <t>06/02/20247</t>
  </si>
  <si>
    <t>REY LEÒN</t>
  </si>
  <si>
    <t>LOS INCREIBLES</t>
  </si>
  <si>
    <t>PRINCESA SOFIA</t>
  </si>
  <si>
    <t>DOCTORA JUGUETE</t>
  </si>
  <si>
    <t>MONSTER</t>
  </si>
  <si>
    <t xml:space="preserve">                                                                                                                             </t>
  </si>
  <si>
    <t xml:space="preserve">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</si>
  <si>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</si>
  <si>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</si>
  <si>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 xml:space="preserve">                                                                                                                     </t>
  </si>
  <si>
    <t>Manchas</t>
  </si>
  <si>
    <t>Sucias</t>
  </si>
  <si>
    <t>Rotos</t>
  </si>
  <si>
    <t>Rayas</t>
  </si>
  <si>
    <t>Manchas por estampado</t>
  </si>
  <si>
    <t>Falla de pintura</t>
  </si>
  <si>
    <t>Mancha oxido</t>
  </si>
  <si>
    <t>Mancha pintura:</t>
  </si>
  <si>
    <t xml:space="preserve"> Rayas</t>
  </si>
  <si>
    <t>Sin pintura:</t>
  </si>
  <si>
    <t xml:space="preserve"> 28/02/024</t>
  </si>
  <si>
    <t>MIRABEL</t>
  </si>
  <si>
    <t>MINNIE CLASSIC</t>
  </si>
  <si>
    <t>1ª Medida</t>
  </si>
  <si>
    <t>ANCHO</t>
  </si>
  <si>
    <t>RAPORT</t>
  </si>
  <si>
    <t>2ª medida</t>
  </si>
  <si>
    <t>64 y medio</t>
  </si>
  <si>
    <t xml:space="preserve">MEDIDA MANITO  </t>
  </si>
  <si>
    <t>PEREIRA</t>
  </si>
  <si>
    <t>QEFRUTA</t>
  </si>
  <si>
    <t>SET UTENSILIOS</t>
  </si>
  <si>
    <t>SET MARINERO</t>
  </si>
  <si>
    <t>GAME MARKETING</t>
  </si>
  <si>
    <t>MINNIE ÉXITO</t>
  </si>
  <si>
    <t>NACIONAL ANDU</t>
  </si>
  <si>
    <t>MILLONARIOS ANDU</t>
  </si>
  <si>
    <t>SPIDERMAN ÉXITO</t>
  </si>
  <si>
    <t>SOCCER MARKETING</t>
  </si>
  <si>
    <t>MARIPOSA MARKETING</t>
  </si>
  <si>
    <t>NACIONAL</t>
  </si>
  <si>
    <t>ISABELLA MUESTRA</t>
  </si>
  <si>
    <t>QEFRUTA TERRY</t>
  </si>
  <si>
    <t>QEFRUTA TUNDIDA</t>
  </si>
  <si>
    <t>QEGRANJA TERRY</t>
  </si>
  <si>
    <t>QEGRANJA TUNDIDA</t>
  </si>
  <si>
    <t>MICKEY H1</t>
  </si>
  <si>
    <t>MICKEY H2</t>
  </si>
  <si>
    <t>MICKEY H3</t>
  </si>
  <si>
    <t>MICKEY H4</t>
  </si>
  <si>
    <t>MICKEY H5</t>
  </si>
  <si>
    <t>MICKEY H6</t>
  </si>
  <si>
    <t>MICKEY H7</t>
  </si>
  <si>
    <t>BAILARINA</t>
  </si>
  <si>
    <t>SOCCER</t>
  </si>
  <si>
    <t>UNICORNIO MARKETING</t>
  </si>
  <si>
    <t>MONSTER TRUCK</t>
  </si>
  <si>
    <t>FRUTA ANDU LIMPION</t>
  </si>
  <si>
    <t>RAYAS ROSADAS</t>
  </si>
  <si>
    <t>RAYAS AZULES</t>
  </si>
  <si>
    <t xml:space="preserve">GATA MARIE </t>
  </si>
  <si>
    <t>HOJARASCA X3 DISEÑOS</t>
  </si>
  <si>
    <t>MARIPOSA X3 DISEÑOS</t>
  </si>
  <si>
    <t>POWER FIT</t>
  </si>
  <si>
    <t>INTER MIAMI</t>
  </si>
  <si>
    <t>FRUTAL</t>
  </si>
  <si>
    <t>MARIPOSA</t>
  </si>
  <si>
    <t>GARDEN</t>
  </si>
  <si>
    <t>ESPECIAS</t>
  </si>
  <si>
    <t>HOJAS LINEAS</t>
  </si>
  <si>
    <t>HOJARASCA</t>
  </si>
  <si>
    <t>MANTEL(MUESTRA)</t>
  </si>
  <si>
    <t>CHASE 60X120-280</t>
  </si>
  <si>
    <t>CHASE 60X120-400</t>
  </si>
  <si>
    <t>MINNIE CAPUCHA</t>
  </si>
  <si>
    <t>CAPUCHA MINNIE</t>
  </si>
  <si>
    <t>MICKEY CAPUCHA</t>
  </si>
  <si>
    <t>MICKEY SB</t>
  </si>
  <si>
    <t>CAPUCHA MICKEY</t>
  </si>
  <si>
    <t>VIBES (NIÑA)</t>
  </si>
  <si>
    <t>ARAÑA</t>
  </si>
  <si>
    <t>STICH</t>
  </si>
  <si>
    <t>FRUTA LIMPION</t>
  </si>
  <si>
    <t xml:space="preserve"> 20/08/2024</t>
  </si>
  <si>
    <t>NAVIDAD ANDU</t>
  </si>
  <si>
    <t>DONALD</t>
  </si>
  <si>
    <t>GARFIELD</t>
  </si>
  <si>
    <t>DUMBO</t>
  </si>
  <si>
    <t>MULAN</t>
  </si>
  <si>
    <t xml:space="preserve"> ANDU NAVIDAD</t>
  </si>
  <si>
    <t>INTENSAMENTE 2</t>
  </si>
  <si>
    <t>INTENSAMENTE 1</t>
  </si>
  <si>
    <t>SET UTENCILIOS</t>
  </si>
  <si>
    <t>ANDU FRUTAS</t>
  </si>
  <si>
    <t>QE FRUTAS</t>
  </si>
  <si>
    <t>VIBES P.J</t>
  </si>
  <si>
    <t>MUESTRA AJEDREZ</t>
  </si>
  <si>
    <t>DINO MOTO</t>
  </si>
  <si>
    <t>PINGÜINO</t>
  </si>
  <si>
    <t>STITCH</t>
  </si>
  <si>
    <t>QE GRANJA</t>
  </si>
  <si>
    <t>GAMER</t>
  </si>
  <si>
    <t>DINO RAWR</t>
  </si>
  <si>
    <t>C SOFIA</t>
  </si>
  <si>
    <t>C MOSTER</t>
  </si>
  <si>
    <t>C LEON</t>
  </si>
  <si>
    <t>C MARIE</t>
  </si>
  <si>
    <t>C DUMBO</t>
  </si>
  <si>
    <t>VACAS ANDU</t>
  </si>
  <si>
    <t>DINO</t>
  </si>
  <si>
    <t>muestra rayas</t>
  </si>
  <si>
    <t>mickey</t>
  </si>
  <si>
    <t>stitch</t>
  </si>
  <si>
    <t>FONDEFAL</t>
  </si>
  <si>
    <t>MOSTER</t>
  </si>
  <si>
    <t>BOB</t>
  </si>
  <si>
    <t>RAPUNZEL</t>
  </si>
  <si>
    <t>REAL CARTAGENA</t>
  </si>
  <si>
    <t>LEON</t>
  </si>
  <si>
    <t>MUESTRA AZUL</t>
  </si>
  <si>
    <t>MUESTRA SALMON</t>
  </si>
  <si>
    <t>SOFIA</t>
  </si>
  <si>
    <t>MOHANA</t>
  </si>
  <si>
    <t>frutas andu</t>
  </si>
  <si>
    <t>vacas andu</t>
  </si>
  <si>
    <t>rayas amarillas</t>
  </si>
  <si>
    <t>chase</t>
  </si>
  <si>
    <t>Skay</t>
  </si>
  <si>
    <t>Rayas amarillas</t>
  </si>
  <si>
    <t xml:space="preserve">Minnie rosada </t>
  </si>
  <si>
    <t xml:space="preserve">GARFIELD </t>
  </si>
  <si>
    <t>QF GRANJA</t>
  </si>
  <si>
    <t xml:space="preserve"> INTENSAMENTE 1 </t>
  </si>
  <si>
    <t xml:space="preserve"> INTENSAMENTE 2</t>
  </si>
  <si>
    <t xml:space="preserve"> BAILARINA C13 </t>
  </si>
  <si>
    <t xml:space="preserve">MINNIE MOUSE </t>
  </si>
  <si>
    <t xml:space="preserve">DONAL </t>
  </si>
  <si>
    <t xml:space="preserve">GATA MARI </t>
  </si>
  <si>
    <t xml:space="preserve"> VALIENTE</t>
  </si>
  <si>
    <t>BOOFY</t>
  </si>
  <si>
    <t xml:space="preserve">MICKEY </t>
  </si>
  <si>
    <t>DAISY</t>
  </si>
  <si>
    <t>SHASE</t>
  </si>
  <si>
    <t>DONAL</t>
  </si>
  <si>
    <t>UTENSILIO</t>
  </si>
  <si>
    <t>FROZEN</t>
  </si>
  <si>
    <t>DTF</t>
  </si>
  <si>
    <t>UNIDADES</t>
  </si>
  <si>
    <t>CINTA PARA ESCARAPELA</t>
  </si>
  <si>
    <t>SUETER</t>
  </si>
  <si>
    <t>03-04/02/2025</t>
  </si>
  <si>
    <t>REPORTE SUBLIMADO( JHONNY)</t>
  </si>
  <si>
    <t>FRONZEN</t>
  </si>
  <si>
    <t>JAZMIN</t>
  </si>
  <si>
    <t>AJEDREZ MANITO</t>
  </si>
  <si>
    <t>AJEDREZ CUERPO</t>
  </si>
  <si>
    <t>CRIS GEOMETRICO AZUL</t>
  </si>
  <si>
    <t>ARIEL GEOMETRICO VERDE</t>
  </si>
  <si>
    <t>Dani cris floral</t>
  </si>
  <si>
    <t>Cris floral azul 33</t>
  </si>
  <si>
    <t>ariel floral verde</t>
  </si>
  <si>
    <t>Jessie geometrico kaki</t>
  </si>
  <si>
    <t>GOOFY</t>
  </si>
  <si>
    <t>DANI GEOMETRICO GRIS</t>
  </si>
  <si>
    <t>JESSIE FLORAL</t>
  </si>
  <si>
    <t>JESSI GEOMETRICO</t>
  </si>
  <si>
    <t>VALIENTE</t>
  </si>
  <si>
    <t>STICH NIÑA</t>
  </si>
  <si>
    <t>GRANJA ANDU</t>
  </si>
  <si>
    <t>ESKAY</t>
  </si>
  <si>
    <t>SKAY</t>
  </si>
  <si>
    <t xml:space="preserve">NACIONAL </t>
  </si>
  <si>
    <t xml:space="preserve">UNICORNIO C3 </t>
  </si>
  <si>
    <t xml:space="preserve">FRUTA ANDU </t>
  </si>
  <si>
    <t xml:space="preserve">GRANJA ANDU </t>
  </si>
  <si>
    <t>UNICORNIO BLASTA</t>
  </si>
  <si>
    <t>DINO RAW BLASTA 2025</t>
  </si>
  <si>
    <t xml:space="preserve">BAILARINA BLASTA 2025 </t>
  </si>
  <si>
    <t xml:space="preserve">GOOFY </t>
  </si>
  <si>
    <t xml:space="preserve">    MINNIE MOUSE </t>
  </si>
  <si>
    <t xml:space="preserve">   GRIS GEOMETRICO AZUL  </t>
  </si>
  <si>
    <t xml:space="preserve">                   ARCOIRIS </t>
  </si>
  <si>
    <t xml:space="preserve">DEPORTE </t>
  </si>
  <si>
    <t xml:space="preserve">STITCH NIÑA </t>
  </si>
  <si>
    <t xml:space="preserve">FAVORITA </t>
  </si>
  <si>
    <t xml:space="preserve">CARS </t>
  </si>
  <si>
    <t xml:space="preserve">DEISY </t>
  </si>
  <si>
    <t xml:space="preserve">VALIENTE </t>
  </si>
  <si>
    <t xml:space="preserve">QEFRUTAS </t>
  </si>
  <si>
    <t xml:space="preserve">FRUTAS ANDU </t>
  </si>
  <si>
    <t xml:space="preserve">VACA ANDU </t>
  </si>
  <si>
    <t xml:space="preserve">SKY </t>
  </si>
  <si>
    <t xml:space="preserve">CONEJO </t>
  </si>
  <si>
    <t xml:space="preserve">ROBOT </t>
  </si>
  <si>
    <t xml:space="preserve">DISEÑO OLAS </t>
  </si>
  <si>
    <t xml:space="preserve">DISEÑO CORAL </t>
  </si>
  <si>
    <t xml:space="preserve">DISEÑO  PIÑA </t>
  </si>
  <si>
    <t xml:space="preserve">UNICORNIO NIÑA </t>
  </si>
  <si>
    <t xml:space="preserve">DISEÑO  HOJAS </t>
  </si>
  <si>
    <t xml:space="preserve">FROZEN </t>
  </si>
  <si>
    <t xml:space="preserve">AJEDREZ CUERPO </t>
  </si>
  <si>
    <t xml:space="preserve">AJEDREZ MANITO </t>
  </si>
  <si>
    <t xml:space="preserve">MOHANA </t>
  </si>
  <si>
    <t xml:space="preserve">STITCH </t>
  </si>
  <si>
    <t>CONEJO</t>
  </si>
  <si>
    <t>STITCH  NIÑA</t>
  </si>
  <si>
    <t xml:space="preserve">REY LEON </t>
  </si>
  <si>
    <t>MARY</t>
  </si>
  <si>
    <t>ROBOT</t>
  </si>
  <si>
    <t>UTENSILIOS</t>
  </si>
  <si>
    <t>BLUEY</t>
  </si>
  <si>
    <t>SHASE MK</t>
  </si>
  <si>
    <t>SKEY MK</t>
  </si>
  <si>
    <t>STICH NIÑO</t>
  </si>
  <si>
    <t>STITCH NIÑA</t>
  </si>
  <si>
    <t>STITCH NIÑO</t>
  </si>
  <si>
    <t>MIKEY</t>
  </si>
  <si>
    <t>SKY</t>
  </si>
  <si>
    <t>CAPIBARA</t>
  </si>
  <si>
    <t>SKEY</t>
  </si>
  <si>
    <t>RONALDO</t>
  </si>
  <si>
    <t>GOOD VIBES</t>
  </si>
  <si>
    <t>DINO ROAR</t>
  </si>
  <si>
    <t>STICHT 1</t>
  </si>
  <si>
    <t>STICHT 2</t>
  </si>
  <si>
    <t>STITCH NIÑ0</t>
  </si>
  <si>
    <t>SPIDER</t>
  </si>
  <si>
    <t xml:space="preserve">MINNIE </t>
  </si>
  <si>
    <t xml:space="preserve">JAZMIN </t>
  </si>
  <si>
    <t>STICK NIÑO</t>
  </si>
  <si>
    <t xml:space="preserve">GRUMA ROJA </t>
  </si>
  <si>
    <t>UNICORNIO C14</t>
  </si>
  <si>
    <t xml:space="preserve">DINO C14 </t>
  </si>
  <si>
    <t>AFELPADA AMARILLA</t>
  </si>
  <si>
    <t xml:space="preserve">PLAYERA PIÑA </t>
  </si>
  <si>
    <t>PLAYERA CORAL</t>
  </si>
  <si>
    <t>PAYERA HOJAS</t>
  </si>
  <si>
    <t>PAYERA OLAS</t>
  </si>
  <si>
    <t>AFELPADA BLANCA</t>
  </si>
  <si>
    <t>AFELPADA kaki</t>
  </si>
  <si>
    <t>AFELPADA ROSA</t>
  </si>
  <si>
    <t>AFELPADA MARRON</t>
  </si>
  <si>
    <t>AFELPADA GRIS</t>
  </si>
  <si>
    <t>TELA AFELPADA BLANCA</t>
  </si>
  <si>
    <t>TELA AFELPADA MARRON</t>
  </si>
  <si>
    <t xml:space="preserve">TELA AFELPADA AZUL </t>
  </si>
  <si>
    <t xml:space="preserve">TELA AFELPADA GRIS  </t>
  </si>
  <si>
    <t xml:space="preserve">STICK NIÑA </t>
  </si>
  <si>
    <t xml:space="preserve">                MINNIE MOUSE </t>
  </si>
  <si>
    <t xml:space="preserve">  MINNIE MOUSE </t>
  </si>
  <si>
    <t xml:space="preserve">             MICKEY MOUSE </t>
  </si>
  <si>
    <t xml:space="preserve">                         CARS</t>
  </si>
  <si>
    <t xml:space="preserve">                         SKAY</t>
  </si>
  <si>
    <t xml:space="preserve">                  PLAYERA PIÑA</t>
  </si>
  <si>
    <t xml:space="preserve">                          CARS</t>
  </si>
  <si>
    <t xml:space="preserve">                     SHASE </t>
  </si>
  <si>
    <t xml:space="preserve">                      SKAY</t>
  </si>
  <si>
    <t xml:space="preserve">              PLAYERA PIÑA</t>
  </si>
  <si>
    <t xml:space="preserve">            PLAYERA HOJAS</t>
  </si>
  <si>
    <t xml:space="preserve">             PLAYERA CORAL</t>
  </si>
  <si>
    <t xml:space="preserve">               PLAYERA OLAS</t>
  </si>
  <si>
    <t xml:space="preserve">    CAPIBARA NIÑA   </t>
  </si>
  <si>
    <t xml:space="preserve">    CAPIBARA NIÑO  </t>
  </si>
  <si>
    <t xml:space="preserve">   </t>
  </si>
  <si>
    <t>UNICORNIO TELARY KIDS</t>
  </si>
  <si>
    <t xml:space="preserve">    DINO TELARY KIDS</t>
  </si>
  <si>
    <t xml:space="preserve">   UNICORNIO TELARY KIDS</t>
  </si>
  <si>
    <t>GALAXY TELARY KIDS</t>
  </si>
  <si>
    <t xml:space="preserve">  GALAXY TELARY KIDS  </t>
  </si>
  <si>
    <t xml:space="preserve">      SAFARI TELARY KIDS    </t>
  </si>
  <si>
    <t xml:space="preserve"> ARCOIRIS TELARY KIDS  </t>
  </si>
  <si>
    <t xml:space="preserve">    ANIMALES TELARY KIDS    </t>
  </si>
  <si>
    <t xml:space="preserve">UNICORNIO TELARY KIDS  </t>
  </si>
  <si>
    <t xml:space="preserve">    DINO TELARY KIDS    </t>
  </si>
  <si>
    <t xml:space="preserve">DINOTELARY KIDS  </t>
  </si>
  <si>
    <t xml:space="preserve">  MICKEY </t>
  </si>
  <si>
    <t xml:space="preserve">     DINO MARKETING</t>
  </si>
  <si>
    <t xml:space="preserve">  UNICORNIO MARKETING</t>
  </si>
  <si>
    <t xml:space="preserve">MUESTRA MICKEY </t>
  </si>
  <si>
    <t>STITCH GIGANTE HOGAR</t>
  </si>
  <si>
    <t>MICKEY GIGANTE HOGAR</t>
  </si>
  <si>
    <t xml:space="preserve">   UNICORNIO MARKETING</t>
  </si>
  <si>
    <t>SALVAJE TELARY KIDS</t>
  </si>
  <si>
    <t xml:space="preserve">   SAFARY TELARY KIIDS</t>
  </si>
  <si>
    <t>ARCOIRIS TELARY KIDS</t>
  </si>
  <si>
    <t>QE FRUTA</t>
  </si>
  <si>
    <t xml:space="preserve">MICKEY MOUSE </t>
  </si>
  <si>
    <t xml:space="preserve">QE UTENCILIOS </t>
  </si>
  <si>
    <t xml:space="preserve">QE FRUTA   </t>
  </si>
  <si>
    <t xml:space="preserve">STICKH NIÑO </t>
  </si>
  <si>
    <t xml:space="preserve">STICKH NIÑO LINEA </t>
  </si>
  <si>
    <t xml:space="preserve">STICKH NIÑO  MUESTRA </t>
  </si>
  <si>
    <t xml:space="preserve">MICKEY MOUSE MUESTRA </t>
  </si>
  <si>
    <t>STICKH NIÑA</t>
  </si>
  <si>
    <t>MINNIE MOUSE</t>
  </si>
  <si>
    <t>CAPIBARA NIÑO</t>
  </si>
  <si>
    <t xml:space="preserve">         DINO MARKETING</t>
  </si>
  <si>
    <t>CAPIBARA NIÑA</t>
  </si>
  <si>
    <t>DINO LINEA</t>
  </si>
  <si>
    <t>UNICORNIO LINEA</t>
  </si>
  <si>
    <t>TELA AFELPADA</t>
  </si>
  <si>
    <t>REAL MADRID</t>
  </si>
  <si>
    <t xml:space="preserve">stitch niña </t>
  </si>
  <si>
    <t xml:space="preserve">CAPIBARA CORAZON </t>
  </si>
  <si>
    <t>ASTRONAUTA DUPRE</t>
  </si>
  <si>
    <t>GATITA DUPREE</t>
  </si>
  <si>
    <t xml:space="preserve">STITCH GIGANTE </t>
  </si>
  <si>
    <t>MICKEY GIGANTE</t>
  </si>
  <si>
    <t>ANIMAL</t>
  </si>
  <si>
    <t xml:space="preserve"> LIMPION MARIPOSA</t>
  </si>
  <si>
    <t>STITCH NIÑO PIGMENTO</t>
  </si>
  <si>
    <t>STITCH NIÑA PIGMENTO</t>
  </si>
  <si>
    <t>CAPIBARA REACTIVO</t>
  </si>
  <si>
    <t>STITCH NIÑA PIGMEN-</t>
  </si>
  <si>
    <t>C ASTRO</t>
  </si>
  <si>
    <t>CANGREJO</t>
  </si>
  <si>
    <t>CORAL PLAYERA</t>
  </si>
  <si>
    <t>HOJAS PLAYERA</t>
  </si>
  <si>
    <t>PIÑA PLAYERA</t>
  </si>
  <si>
    <t>OLAS PLAYERA</t>
  </si>
  <si>
    <t>FRUTA ANDU 35*60</t>
  </si>
  <si>
    <t>FRUTA ANDU 30*50</t>
  </si>
  <si>
    <t>FRUTA ANDU 2025</t>
  </si>
  <si>
    <t>GATA MARI</t>
  </si>
  <si>
    <t>KOALA NIÑO</t>
  </si>
  <si>
    <t>KOALA NIÑA</t>
  </si>
  <si>
    <t>RAMA DUPRE</t>
  </si>
  <si>
    <t xml:space="preserve">RAMA DUPRE </t>
  </si>
  <si>
    <t>QE UTENSILIOS</t>
  </si>
  <si>
    <t xml:space="preserve">QE FRUTAS </t>
  </si>
  <si>
    <t>MICKEY MOUSE</t>
  </si>
  <si>
    <t xml:space="preserve">SHASE </t>
  </si>
  <si>
    <t xml:space="preserve">SKAY </t>
  </si>
  <si>
    <t>STITCH NIÑO REACTIVO</t>
  </si>
  <si>
    <t>STITCH NIÑA REACTIVO</t>
  </si>
  <si>
    <t>GATA MARY</t>
  </si>
  <si>
    <t xml:space="preserve">CANGREJO </t>
  </si>
  <si>
    <t xml:space="preserve"> FRUTA ANDU </t>
  </si>
  <si>
    <t>MICKEY REACTIVO</t>
  </si>
  <si>
    <t xml:space="preserve">MICKEY REACTIVO </t>
  </si>
  <si>
    <t>MINNIE  REACTIVO</t>
  </si>
  <si>
    <t xml:space="preserve">CHASE REACTIVO </t>
  </si>
  <si>
    <t xml:space="preserve">SKAY REACTIVO </t>
  </si>
  <si>
    <t xml:space="preserve">VACAS ANDU </t>
  </si>
  <si>
    <t xml:space="preserve">CARS REACTIVO </t>
  </si>
  <si>
    <t xml:space="preserve">MARIE REACTIVO </t>
  </si>
  <si>
    <t>C.SALVAJE</t>
  </si>
  <si>
    <t xml:space="preserve">C.SAFARI </t>
  </si>
  <si>
    <t>C.MAGIC</t>
  </si>
  <si>
    <t>C.ASTRO LINEA</t>
  </si>
  <si>
    <t>C.DINOSAURIO</t>
  </si>
  <si>
    <t>C.ARCOIRIS</t>
  </si>
  <si>
    <t xml:space="preserve">FRUTAS ANDU VIEJAS </t>
  </si>
  <si>
    <t>VACAS ANDU NUEVAS</t>
  </si>
  <si>
    <t>MINNIE REACTIVO</t>
  </si>
  <si>
    <t>SET FLOR DRUPRE</t>
  </si>
  <si>
    <t xml:space="preserve">VACAS ANDU NUEVAS </t>
  </si>
  <si>
    <t>REPORTE DIARIO DE GOLPES Y UNIDADES DE MARZO</t>
  </si>
  <si>
    <t>KOALA MARKETING</t>
  </si>
  <si>
    <t>FRUTAS ANDU VIEJAS</t>
  </si>
  <si>
    <t>QE FRUTA LINEA</t>
  </si>
  <si>
    <t>QE UTENCILIOS</t>
  </si>
  <si>
    <t>SPIDER-MAN</t>
  </si>
  <si>
    <t>SPIDEY</t>
  </si>
  <si>
    <t xml:space="preserve">CHASE </t>
  </si>
  <si>
    <t>AIRON MAN-HOLK</t>
  </si>
  <si>
    <t>AVENGERS</t>
  </si>
  <si>
    <t>SET DUPRE RAYAS</t>
  </si>
  <si>
    <t>SET DUPRE FLORES</t>
  </si>
  <si>
    <t xml:space="preserve">AVENGERS MARVEL </t>
  </si>
  <si>
    <t>AIRON MAN_HOLK</t>
  </si>
  <si>
    <t>C.SAFARI</t>
  </si>
  <si>
    <t>REPORTE DIARIO DE GOLPES Y UNIDADES DE ABRIL</t>
  </si>
  <si>
    <t>C.UNICORNIO</t>
  </si>
  <si>
    <t>AVENGERS MARVEL TOOR</t>
  </si>
  <si>
    <t xml:space="preserve"> ENERO FEBRERO</t>
  </si>
  <si>
    <t>SPIDER MAN</t>
  </si>
  <si>
    <t>LAZOS MUESTRAS</t>
  </si>
  <si>
    <t xml:space="preserve">           </t>
  </si>
  <si>
    <t>CHASE P.P</t>
  </si>
  <si>
    <t>SKEY P.P</t>
  </si>
  <si>
    <t>IRON-MAN-HOLK</t>
  </si>
  <si>
    <t>AVENGERS THOOR</t>
  </si>
  <si>
    <t xml:space="preserve">SPAIDER-MAN </t>
  </si>
  <si>
    <t xml:space="preserve">SPIDEY </t>
  </si>
  <si>
    <t>GALLINA DUPREE</t>
  </si>
  <si>
    <t>REPORTE DIARIO DE GOLPES Y UNIDADES DE MAYO</t>
  </si>
  <si>
    <t>DINO MARKETING</t>
  </si>
  <si>
    <t xml:space="preserve">MARIE </t>
  </si>
  <si>
    <t>MINNIE MOUSE..</t>
  </si>
  <si>
    <t>MICKEY MOUSE…</t>
  </si>
  <si>
    <t xml:space="preserve">  </t>
  </si>
  <si>
    <t>ZOOLOGICO (NOVAVENTA)</t>
  </si>
  <si>
    <t>THOOR</t>
  </si>
  <si>
    <t>SPAIDY ..</t>
  </si>
  <si>
    <t>IRON-MAN ..</t>
  </si>
  <si>
    <t xml:space="preserve">QE FRUTAS .. </t>
  </si>
  <si>
    <t>SKAY ..</t>
  </si>
  <si>
    <t>SPAIDER-MAN</t>
  </si>
  <si>
    <t>MINNIE MOUSE ..</t>
  </si>
  <si>
    <t>MICKEY MOUSE ..</t>
  </si>
  <si>
    <t>MODA NOVA WOODY</t>
  </si>
  <si>
    <t xml:space="preserve">MODA NOVA WOODY 6CM (MUESTRA) </t>
  </si>
  <si>
    <t>MODA NOVA BUZZ 6CM (MUESTRA)</t>
  </si>
  <si>
    <t>MANDALORIAN MODA NOVA(MUESTRAS 6CM)</t>
  </si>
  <si>
    <t>CARS MODA NOVA(MUESTRAS 6CM)</t>
  </si>
  <si>
    <t>ADVERNGERS 3</t>
  </si>
  <si>
    <t>REPORTE DIARIO DE GOLPES Y UNIDADES DE JUNIO</t>
  </si>
  <si>
    <t>STITCH  MODA NOVA(MUESTRAS 6CM)</t>
  </si>
  <si>
    <t xml:space="preserve">STITCH MODA NOVA 6M </t>
  </si>
  <si>
    <t>AVENGERS 2</t>
  </si>
  <si>
    <t>BARRANQUILLA</t>
  </si>
  <si>
    <t>SPIDEY 60X120 280GR</t>
  </si>
  <si>
    <t xml:space="preserve">SPIDEY 60X120 280GR PLANO GRANDE </t>
  </si>
  <si>
    <t xml:space="preserve">VACAS ANDU .. </t>
  </si>
  <si>
    <t xml:space="preserve">SELECION COLOMBIA … </t>
  </si>
  <si>
    <t xml:space="preserve">         Q</t>
  </si>
  <si>
    <t>MMA</t>
  </si>
  <si>
    <t xml:space="preserve">CHASE P.P </t>
  </si>
  <si>
    <t>AVENGERS 3</t>
  </si>
  <si>
    <t>SPAIDY</t>
  </si>
  <si>
    <t>BUZZ TELARY</t>
  </si>
  <si>
    <t>WOODY TELARY</t>
  </si>
  <si>
    <t>REPORTE DIARIO DE GOLPES Y UNIDADES DE JULIO</t>
  </si>
  <si>
    <t xml:space="preserve">ZOOLOGICO (NOVAVENTA) </t>
  </si>
  <si>
    <t>ROMARCO</t>
  </si>
  <si>
    <t xml:space="preserve">  SIPIDEY GIGANTE HOGAR  </t>
  </si>
  <si>
    <t>SPIDEY GIGANTE DEL HOGAR</t>
  </si>
  <si>
    <t xml:space="preserve">BUZZ MODA NOVA </t>
  </si>
  <si>
    <t>CARS MODA NOVA</t>
  </si>
  <si>
    <t>WOODY MODA NOVA</t>
  </si>
  <si>
    <t xml:space="preserve">MANDA LORIAN </t>
  </si>
  <si>
    <t xml:space="preserve">MINNIE .. </t>
  </si>
  <si>
    <t>ZOOLOGICO</t>
  </si>
  <si>
    <t>HELLO KITTY</t>
  </si>
  <si>
    <t>STITCH SUMER</t>
  </si>
  <si>
    <t>STITCH ALOHA</t>
  </si>
  <si>
    <t xml:space="preserve">SPAIDY </t>
  </si>
  <si>
    <t>REPORTE DIARIO DE GOLPES Y UNIDADES DE AGOSTO</t>
  </si>
  <si>
    <t xml:space="preserve">MINNIE MOUSE. </t>
  </si>
  <si>
    <t xml:space="preserve">WOODY. </t>
  </si>
  <si>
    <t xml:space="preserve">NAVIDAD ANDU </t>
  </si>
  <si>
    <t xml:space="preserve">UTENCILIOS </t>
  </si>
  <si>
    <t>JESSIE</t>
  </si>
  <si>
    <t>HELLO KITTY (MUESTRA)</t>
  </si>
  <si>
    <t>AVENGER 2</t>
  </si>
  <si>
    <t>AVENGER 3</t>
  </si>
  <si>
    <t>REPORTE DIARIO DE GOLPES Y UNIDADES DE SEPTIEMBRE</t>
  </si>
  <si>
    <t>NAVIDAD LINEA.</t>
  </si>
  <si>
    <t>NAVIDAD LINEA</t>
  </si>
  <si>
    <t xml:space="preserve">STITCH NIÑO </t>
  </si>
  <si>
    <t>AVENGERS #2</t>
  </si>
  <si>
    <t>MICKEY MOUSE.</t>
  </si>
  <si>
    <t>REPORTE DIARIO DE GOLPES Y UNIDADES DE OCTUBRE</t>
  </si>
  <si>
    <t>HELLO KITTY (MODA NOVA)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</si>
</sst>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theme="1"/>
      <name val="Cambria"/>
      <family val="1"/>
      <scheme val="maj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87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Border="1"/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0" fillId="0" borderId="5" xfId="0" applyBorder="1"/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0" xfId="0" applyFill="1"/>
    <xf numFmtId="0" fontId="1" fillId="3" borderId="0" xfId="0" applyFont="1" applyFill="1"/>
    <xf numFmtId="0" fontId="0" fillId="3" borderId="0" xfId="0" applyFont="1" applyFill="1"/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indent="3"/>
    </xf>
    <xf numFmtId="0" fontId="1" fillId="0" borderId="1" xfId="0" applyFont="1" applyBorder="1" applyAlignment="1">
      <alignment horizontal="left" indent="4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indent="6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565"/>
  <sheetViews>
    <sheetView tabSelected="1" topLeftCell="A2546" zoomScale="120" zoomScaleNormal="120" workbookViewId="0">
      <selection activeCell="A2546" sqref="A1:XFD1048576"/>
    </sheetView>
  </sheetViews>
  <sheetFormatPr baseColWidth="10" defaultRowHeight="15"/>
  <cols>
    <col min="1" max="1" width="15" customWidth="1"/>
    <col min="2" max="2" width="4.5703125" hidden="1" customWidth="1"/>
    <col min="3" max="3" width="11.42578125" hidden="1" customWidth="1"/>
    <col min="4" max="4" width="27.140625" customWidth="1"/>
    <col min="5" max="5" width="17.85546875" customWidth="1"/>
    <col min="6" max="6" width="12.5703125" customWidth="1"/>
    <col min="7" max="7" width="4.7109375" customWidth="1"/>
    <col min="8" max="8" width="33.85546875" customWidth="1"/>
    <col min="9" max="9" width="17.85546875" customWidth="1"/>
    <col min="10" max="10" width="13.28515625" customWidth="1"/>
    <col min="11" max="11" width="15.85546875" customWidth="1"/>
    <col min="12" max="12" width="19.42578125" customWidth="1"/>
  </cols>
  <sheetData>
    <row r="1" spans="1:11" ht="15" customHeight="1">
      <c r="A1" s="667" t="s">
        <v>0</v>
      </c>
      <c r="B1" s="667"/>
      <c r="D1" s="667" t="s">
        <v>0</v>
      </c>
      <c r="E1" s="667"/>
      <c r="H1" s="667" t="s">
        <v>0</v>
      </c>
      <c r="I1" s="667"/>
      <c r="K1" s="342"/>
    </row>
    <row r="2" spans="1:11">
      <c r="A2" s="1" t="s">
        <v>1</v>
      </c>
      <c r="B2" s="2">
        <v>45296</v>
      </c>
      <c r="D2" s="1" t="s">
        <v>1</v>
      </c>
      <c r="E2" s="2">
        <v>45297</v>
      </c>
      <c r="H2" s="1" t="s">
        <v>1</v>
      </c>
      <c r="I2" s="2">
        <v>45300</v>
      </c>
      <c r="K2" s="2">
        <v>45301</v>
      </c>
    </row>
    <row r="3" spans="1:11">
      <c r="A3" s="1" t="s">
        <v>2</v>
      </c>
      <c r="B3" s="1" t="s">
        <v>3</v>
      </c>
      <c r="D3" s="1" t="s">
        <v>2</v>
      </c>
      <c r="E3" s="1" t="s">
        <v>3</v>
      </c>
      <c r="H3" s="1" t="s">
        <v>2</v>
      </c>
      <c r="I3" s="1" t="s">
        <v>3</v>
      </c>
      <c r="K3" s="1" t="s">
        <v>3</v>
      </c>
    </row>
    <row r="4" spans="1:11">
      <c r="A4" s="3" t="s">
        <v>5</v>
      </c>
      <c r="B4" s="4">
        <v>412</v>
      </c>
      <c r="D4" s="4" t="s">
        <v>6</v>
      </c>
      <c r="E4" s="4">
        <v>435</v>
      </c>
      <c r="H4" s="3" t="s">
        <v>8</v>
      </c>
      <c r="I4" s="4">
        <v>400</v>
      </c>
      <c r="K4" s="4">
        <v>72</v>
      </c>
    </row>
    <row r="5" spans="1:11">
      <c r="A5" s="5" t="s">
        <v>4</v>
      </c>
      <c r="B5" s="5">
        <f>SUM(B4:B4)</f>
        <v>412</v>
      </c>
      <c r="D5" s="3" t="s">
        <v>7</v>
      </c>
      <c r="E5" s="4">
        <v>700</v>
      </c>
      <c r="H5" s="3" t="s">
        <v>9</v>
      </c>
      <c r="I5" s="4">
        <v>352</v>
      </c>
      <c r="K5" s="4">
        <v>538</v>
      </c>
    </row>
    <row r="6" spans="1:11">
      <c r="D6" s="5" t="s">
        <v>4</v>
      </c>
      <c r="E6" s="5">
        <f>SUM(E4:E5)</f>
        <v>1135</v>
      </c>
      <c r="H6" s="5" t="s">
        <v>4</v>
      </c>
      <c r="I6" s="5">
        <f>SUM(I4:I5)</f>
        <v>752</v>
      </c>
      <c r="K6" s="5">
        <f>SUM(K4:K5)</f>
        <v>610</v>
      </c>
    </row>
    <row r="7" spans="1:11">
      <c r="A7" s="667" t="s">
        <v>0</v>
      </c>
      <c r="B7" s="667"/>
    </row>
    <row r="8" spans="1:11" ht="15" customHeight="1">
      <c r="A8" s="1" t="s">
        <v>1</v>
      </c>
      <c r="B8" s="2">
        <v>45302</v>
      </c>
      <c r="D8" s="667" t="s">
        <v>0</v>
      </c>
      <c r="E8" s="667"/>
      <c r="H8" s="667" t="s">
        <v>0</v>
      </c>
      <c r="I8" s="667"/>
      <c r="K8" s="342"/>
    </row>
    <row r="9" spans="1:11">
      <c r="A9" s="1" t="s">
        <v>2</v>
      </c>
      <c r="B9" s="1" t="s">
        <v>3</v>
      </c>
      <c r="D9" s="1" t="s">
        <v>1</v>
      </c>
      <c r="E9" s="2">
        <v>45303</v>
      </c>
      <c r="H9" s="1" t="s">
        <v>1</v>
      </c>
      <c r="I9" s="2">
        <v>45304</v>
      </c>
      <c r="K9" s="2">
        <v>45306</v>
      </c>
    </row>
    <row r="10" spans="1:11">
      <c r="A10" s="3" t="s">
        <v>10</v>
      </c>
      <c r="B10" s="4">
        <v>262</v>
      </c>
      <c r="D10" s="1" t="s">
        <v>2</v>
      </c>
      <c r="E10" s="1" t="s">
        <v>3</v>
      </c>
      <c r="H10" s="1" t="s">
        <v>2</v>
      </c>
      <c r="I10" s="1" t="s">
        <v>3</v>
      </c>
      <c r="K10" s="1" t="s">
        <v>3</v>
      </c>
    </row>
    <row r="11" spans="1:11">
      <c r="A11" s="3" t="s">
        <v>11</v>
      </c>
      <c r="B11" s="4">
        <v>308</v>
      </c>
      <c r="D11" s="3" t="s">
        <v>11</v>
      </c>
      <c r="E11" s="3">
        <v>303</v>
      </c>
      <c r="H11" s="3" t="s">
        <v>13</v>
      </c>
      <c r="I11" s="4">
        <v>1225</v>
      </c>
      <c r="K11" s="4">
        <v>800</v>
      </c>
    </row>
    <row r="12" spans="1:11">
      <c r="A12" s="5" t="s">
        <v>4</v>
      </c>
      <c r="B12" s="5">
        <f>SUM(B10:B11)</f>
        <v>570</v>
      </c>
      <c r="D12" s="3" t="s">
        <v>12</v>
      </c>
      <c r="E12" s="4">
        <v>700</v>
      </c>
      <c r="H12" s="5" t="s">
        <v>4</v>
      </c>
      <c r="I12" s="5">
        <f>SUM(I11:I11)</f>
        <v>1225</v>
      </c>
      <c r="K12" s="5">
        <f>SUM(K11:K11)</f>
        <v>800</v>
      </c>
    </row>
    <row r="13" spans="1:11">
      <c r="D13" s="5" t="s">
        <v>4</v>
      </c>
      <c r="E13" s="5">
        <f>SUM(E11:E12)</f>
        <v>1003</v>
      </c>
    </row>
    <row r="14" spans="1:11" ht="15" customHeight="1">
      <c r="H14" s="667" t="s">
        <v>0</v>
      </c>
      <c r="I14" s="667"/>
      <c r="K14" s="342"/>
    </row>
    <row r="15" spans="1:11">
      <c r="A15" s="667" t="s">
        <v>0</v>
      </c>
      <c r="B15" s="667"/>
      <c r="D15" s="667" t="s">
        <v>0</v>
      </c>
      <c r="E15" s="667"/>
      <c r="H15" s="1" t="s">
        <v>1</v>
      </c>
      <c r="I15" s="2">
        <v>45309</v>
      </c>
      <c r="K15" s="2">
        <v>45310</v>
      </c>
    </row>
    <row r="16" spans="1:11">
      <c r="A16" s="1" t="s">
        <v>1</v>
      </c>
      <c r="B16" s="2">
        <v>45307</v>
      </c>
      <c r="D16" s="1" t="s">
        <v>1</v>
      </c>
      <c r="E16" s="2">
        <v>45308</v>
      </c>
      <c r="H16" s="1" t="s">
        <v>2</v>
      </c>
      <c r="I16" s="1" t="s">
        <v>3</v>
      </c>
      <c r="K16" s="1" t="s">
        <v>3</v>
      </c>
    </row>
    <row r="17" spans="1:11">
      <c r="A17" s="1" t="s">
        <v>2</v>
      </c>
      <c r="B17" s="1" t="s">
        <v>3</v>
      </c>
      <c r="D17" s="1" t="s">
        <v>2</v>
      </c>
      <c r="E17" s="1" t="s">
        <v>3</v>
      </c>
      <c r="H17" s="3" t="s">
        <v>17</v>
      </c>
      <c r="I17" s="4">
        <v>1600</v>
      </c>
      <c r="K17" s="3">
        <v>385</v>
      </c>
    </row>
    <row r="18" spans="1:11">
      <c r="A18" s="3" t="s">
        <v>15</v>
      </c>
      <c r="B18" s="3">
        <f>400+33</f>
        <v>433</v>
      </c>
      <c r="D18" s="3" t="s">
        <v>14</v>
      </c>
      <c r="E18" s="3">
        <v>197</v>
      </c>
      <c r="H18" s="5" t="s">
        <v>4</v>
      </c>
      <c r="I18" s="5">
        <f>SUM(I17:I17)</f>
        <v>1600</v>
      </c>
      <c r="K18" s="3">
        <v>112</v>
      </c>
    </row>
    <row r="19" spans="1:11">
      <c r="A19" s="3" t="s">
        <v>14</v>
      </c>
      <c r="B19" s="4">
        <v>203</v>
      </c>
      <c r="D19" s="3" t="s">
        <v>16</v>
      </c>
      <c r="E19" s="4">
        <v>400</v>
      </c>
      <c r="K19" s="5">
        <f>SUM(K17:K18)</f>
        <v>497</v>
      </c>
    </row>
    <row r="20" spans="1:11">
      <c r="A20" s="5" t="s">
        <v>4</v>
      </c>
      <c r="B20" s="5">
        <f>SUM(B18:B19)</f>
        <v>636</v>
      </c>
      <c r="D20" s="5" t="s">
        <v>4</v>
      </c>
      <c r="E20" s="5">
        <f>SUM(E18:E19)</f>
        <v>597</v>
      </c>
      <c r="H20" s="667" t="s">
        <v>0</v>
      </c>
      <c r="I20" s="667"/>
    </row>
    <row r="21" spans="1:11" ht="15" customHeight="1">
      <c r="H21" s="1" t="s">
        <v>1</v>
      </c>
      <c r="I21" s="2">
        <v>45314</v>
      </c>
      <c r="K21" s="342"/>
    </row>
    <row r="22" spans="1:11">
      <c r="A22" s="667" t="s">
        <v>0</v>
      </c>
      <c r="B22" s="667"/>
      <c r="D22" s="667" t="s">
        <v>0</v>
      </c>
      <c r="E22" s="667"/>
      <c r="H22" s="1" t="s">
        <v>2</v>
      </c>
      <c r="I22" s="1" t="s">
        <v>3</v>
      </c>
      <c r="K22" s="2">
        <v>45315</v>
      </c>
    </row>
    <row r="23" spans="1:11">
      <c r="A23" s="1" t="s">
        <v>1</v>
      </c>
      <c r="B23" s="2">
        <v>45311</v>
      </c>
      <c r="D23" s="1" t="s">
        <v>1</v>
      </c>
      <c r="E23" s="2">
        <v>45313</v>
      </c>
      <c r="H23" s="3" t="s">
        <v>20</v>
      </c>
      <c r="I23" s="3">
        <v>269</v>
      </c>
      <c r="K23" s="1" t="s">
        <v>3</v>
      </c>
    </row>
    <row r="24" spans="1:11">
      <c r="A24" s="1" t="s">
        <v>2</v>
      </c>
      <c r="B24" s="1" t="s">
        <v>3</v>
      </c>
      <c r="D24" s="1" t="s">
        <v>2</v>
      </c>
      <c r="E24" s="1" t="s">
        <v>3</v>
      </c>
      <c r="H24" s="3" t="s">
        <v>21</v>
      </c>
      <c r="I24" s="3">
        <v>242</v>
      </c>
      <c r="K24" s="3">
        <v>269</v>
      </c>
    </row>
    <row r="25" spans="1:11">
      <c r="A25" s="3" t="s">
        <v>18</v>
      </c>
      <c r="B25" s="4">
        <v>1589</v>
      </c>
      <c r="D25" s="3" t="s">
        <v>19</v>
      </c>
      <c r="E25" s="3">
        <v>415</v>
      </c>
      <c r="H25" s="3" t="s">
        <v>22</v>
      </c>
      <c r="I25" s="4">
        <v>481</v>
      </c>
      <c r="K25" s="3">
        <v>158</v>
      </c>
    </row>
    <row r="26" spans="1:11">
      <c r="A26" s="5" t="s">
        <v>4</v>
      </c>
      <c r="B26" s="5">
        <f>SUM(B25:B25)</f>
        <v>1589</v>
      </c>
      <c r="D26" s="3" t="s">
        <v>20</v>
      </c>
      <c r="E26" s="4">
        <v>95</v>
      </c>
      <c r="H26" s="5" t="s">
        <v>4</v>
      </c>
      <c r="I26" s="5">
        <f>SUM(I23:I25)</f>
        <v>992</v>
      </c>
      <c r="K26" s="4">
        <v>400</v>
      </c>
    </row>
    <row r="27" spans="1:11">
      <c r="D27" s="5" t="s">
        <v>4</v>
      </c>
      <c r="E27" s="5">
        <f>SUM(E25:E26)</f>
        <v>510</v>
      </c>
      <c r="K27" s="5">
        <f>SUM(K24:K26)</f>
        <v>827</v>
      </c>
    </row>
    <row r="28" spans="1:11">
      <c r="A28" s="667" t="s">
        <v>0</v>
      </c>
      <c r="B28" s="667"/>
      <c r="H28" s="667" t="s">
        <v>0</v>
      </c>
      <c r="I28" s="667"/>
    </row>
    <row r="29" spans="1:11" ht="15" customHeight="1">
      <c r="A29" s="1" t="s">
        <v>1</v>
      </c>
      <c r="B29" s="2">
        <v>45316</v>
      </c>
      <c r="D29" s="667" t="s">
        <v>0</v>
      </c>
      <c r="E29" s="667"/>
      <c r="H29" s="1" t="s">
        <v>1</v>
      </c>
      <c r="I29" s="2">
        <v>45318</v>
      </c>
      <c r="K29" s="342"/>
    </row>
    <row r="30" spans="1:11">
      <c r="A30" s="1" t="s">
        <v>2</v>
      </c>
      <c r="B30" s="1" t="s">
        <v>3</v>
      </c>
      <c r="D30" s="1" t="s">
        <v>1</v>
      </c>
      <c r="E30" s="2">
        <v>45317</v>
      </c>
      <c r="H30" s="1" t="s">
        <v>2</v>
      </c>
      <c r="I30" s="1" t="s">
        <v>3</v>
      </c>
      <c r="K30" s="2">
        <v>45320</v>
      </c>
    </row>
    <row r="31" spans="1:11">
      <c r="A31" s="3" t="s">
        <v>23</v>
      </c>
      <c r="B31" s="3">
        <v>63</v>
      </c>
      <c r="D31" s="1" t="s">
        <v>2</v>
      </c>
      <c r="E31" s="1" t="s">
        <v>3</v>
      </c>
      <c r="H31" s="3" t="s">
        <v>17</v>
      </c>
      <c r="I31" s="3">
        <v>1329</v>
      </c>
      <c r="K31" s="1" t="s">
        <v>3</v>
      </c>
    </row>
    <row r="32" spans="1:11">
      <c r="A32" s="3" t="s">
        <v>24</v>
      </c>
      <c r="B32" s="3">
        <v>359</v>
      </c>
      <c r="D32" s="3" t="s">
        <v>17</v>
      </c>
      <c r="E32" s="4">
        <v>1950</v>
      </c>
      <c r="H32" s="3" t="s">
        <v>12</v>
      </c>
      <c r="I32" s="4">
        <v>184</v>
      </c>
      <c r="K32" s="4">
        <v>581</v>
      </c>
    </row>
    <row r="33" spans="1:11">
      <c r="A33" s="3" t="s">
        <v>25</v>
      </c>
      <c r="B33" s="4">
        <v>174</v>
      </c>
      <c r="D33" s="5" t="s">
        <v>4</v>
      </c>
      <c r="E33" s="5">
        <f>SUM(E32:E32)</f>
        <v>1950</v>
      </c>
      <c r="H33" s="5" t="s">
        <v>4</v>
      </c>
      <c r="I33" s="5">
        <f>SUM(I31:I32)</f>
        <v>1513</v>
      </c>
      <c r="K33" s="5">
        <f>SUM(K32:K32)</f>
        <v>581</v>
      </c>
    </row>
    <row r="34" spans="1:11">
      <c r="A34" s="5" t="s">
        <v>4</v>
      </c>
      <c r="B34" s="5">
        <f>SUM(B31:B33)</f>
        <v>596</v>
      </c>
    </row>
    <row r="35" spans="1:11" ht="15" customHeight="1">
      <c r="D35" s="667" t="s">
        <v>0</v>
      </c>
      <c r="E35" s="667"/>
      <c r="H35" s="667" t="s">
        <v>0</v>
      </c>
      <c r="I35" s="667"/>
      <c r="K35" s="342"/>
    </row>
    <row r="36" spans="1:11">
      <c r="A36" s="667" t="s">
        <v>0</v>
      </c>
      <c r="B36" s="667"/>
      <c r="D36" s="1" t="s">
        <v>1</v>
      </c>
      <c r="E36" s="2">
        <v>45322</v>
      </c>
      <c r="H36" s="1" t="s">
        <v>1</v>
      </c>
      <c r="I36" s="2">
        <v>45323</v>
      </c>
      <c r="K36" s="2">
        <v>45324</v>
      </c>
    </row>
    <row r="37" spans="1:11">
      <c r="A37" s="1" t="s">
        <v>1</v>
      </c>
      <c r="B37" s="2">
        <v>45321</v>
      </c>
      <c r="D37" s="1" t="s">
        <v>2</v>
      </c>
      <c r="E37" s="1" t="s">
        <v>3</v>
      </c>
      <c r="H37" s="1" t="s">
        <v>2</v>
      </c>
      <c r="I37" s="1" t="s">
        <v>3</v>
      </c>
      <c r="K37" s="1" t="s">
        <v>3</v>
      </c>
    </row>
    <row r="38" spans="1:11">
      <c r="A38" s="1" t="s">
        <v>2</v>
      </c>
      <c r="B38" s="1" t="s">
        <v>3</v>
      </c>
      <c r="D38" s="3" t="s">
        <v>13</v>
      </c>
      <c r="E38" s="3">
        <v>686</v>
      </c>
      <c r="H38" s="3" t="s">
        <v>30</v>
      </c>
      <c r="I38" s="4">
        <v>800</v>
      </c>
      <c r="K38" s="3">
        <v>800</v>
      </c>
    </row>
    <row r="39" spans="1:11">
      <c r="A39" s="3" t="s">
        <v>26</v>
      </c>
      <c r="B39" s="3">
        <v>381</v>
      </c>
      <c r="D39" s="3" t="s">
        <v>29</v>
      </c>
      <c r="E39" s="4">
        <v>169</v>
      </c>
      <c r="H39" s="5" t="s">
        <v>4</v>
      </c>
      <c r="I39" s="5">
        <f>SUM(I38:I38)</f>
        <v>800</v>
      </c>
      <c r="K39" s="4">
        <v>321</v>
      </c>
    </row>
    <row r="40" spans="1:11">
      <c r="A40" s="3" t="s">
        <v>27</v>
      </c>
      <c r="B40" s="3">
        <v>350</v>
      </c>
      <c r="D40" s="5" t="s">
        <v>4</v>
      </c>
      <c r="E40" s="5">
        <f>SUM(E38:E39)</f>
        <v>855</v>
      </c>
      <c r="K40" s="5">
        <f>SUM(K38:K39)</f>
        <v>1121</v>
      </c>
    </row>
    <row r="41" spans="1:11">
      <c r="A41" s="3" t="s">
        <v>28</v>
      </c>
      <c r="B41" s="4">
        <v>175</v>
      </c>
      <c r="H41" s="667" t="s">
        <v>0</v>
      </c>
      <c r="I41" s="667"/>
    </row>
    <row r="42" spans="1:11" ht="15" customHeight="1">
      <c r="A42" s="5" t="s">
        <v>4</v>
      </c>
      <c r="B42" s="5">
        <f>SUM(B39:B41)</f>
        <v>906</v>
      </c>
      <c r="D42" s="667" t="s">
        <v>0</v>
      </c>
      <c r="E42" s="667"/>
      <c r="H42" s="1" t="s">
        <v>1</v>
      </c>
      <c r="I42" s="2" t="s">
        <v>36</v>
      </c>
      <c r="K42" s="342"/>
    </row>
    <row r="43" spans="1:11">
      <c r="D43" s="1" t="s">
        <v>1</v>
      </c>
      <c r="E43" s="2">
        <v>45327</v>
      </c>
      <c r="H43" s="1" t="s">
        <v>2</v>
      </c>
      <c r="I43" s="1" t="s">
        <v>3</v>
      </c>
      <c r="K43" s="2">
        <v>45329</v>
      </c>
    </row>
    <row r="44" spans="1:11">
      <c r="A44" s="667" t="s">
        <v>0</v>
      </c>
      <c r="B44" s="667"/>
      <c r="D44" s="1" t="s">
        <v>2</v>
      </c>
      <c r="E44" s="1" t="s">
        <v>3</v>
      </c>
      <c r="H44" s="3" t="s">
        <v>37</v>
      </c>
      <c r="I44" s="3">
        <v>301</v>
      </c>
      <c r="K44" s="1" t="s">
        <v>3</v>
      </c>
    </row>
    <row r="45" spans="1:11">
      <c r="A45" s="1" t="s">
        <v>1</v>
      </c>
      <c r="B45" s="2">
        <v>45325</v>
      </c>
      <c r="D45" s="3" t="s">
        <v>33</v>
      </c>
      <c r="E45" s="3">
        <v>118</v>
      </c>
      <c r="H45" s="3" t="s">
        <v>38</v>
      </c>
      <c r="I45" s="3">
        <v>400</v>
      </c>
      <c r="K45" s="3">
        <v>400</v>
      </c>
    </row>
    <row r="46" spans="1:11">
      <c r="A46" s="1" t="s">
        <v>2</v>
      </c>
      <c r="B46" s="1" t="s">
        <v>3</v>
      </c>
      <c r="D46" s="3" t="s">
        <v>34</v>
      </c>
      <c r="E46" s="3">
        <v>400</v>
      </c>
      <c r="H46" s="3" t="s">
        <v>39</v>
      </c>
      <c r="I46" s="4">
        <v>400</v>
      </c>
      <c r="K46" s="3">
        <v>767</v>
      </c>
    </row>
    <row r="47" spans="1:11">
      <c r="A47" s="3" t="s">
        <v>33</v>
      </c>
      <c r="B47" s="4">
        <v>498</v>
      </c>
      <c r="D47" s="3" t="s">
        <v>35</v>
      </c>
      <c r="E47" s="4">
        <v>99</v>
      </c>
      <c r="H47" s="5" t="s">
        <v>4</v>
      </c>
      <c r="I47" s="5">
        <f>SUM(I44:I46)</f>
        <v>1101</v>
      </c>
      <c r="K47" s="4">
        <v>14</v>
      </c>
    </row>
    <row r="48" spans="1:11">
      <c r="A48" s="5" t="s">
        <v>4</v>
      </c>
      <c r="B48" s="5">
        <f>SUM(B47:B47)</f>
        <v>498</v>
      </c>
      <c r="D48" s="5" t="s">
        <v>4</v>
      </c>
      <c r="E48" s="5">
        <f>SUM(E45:E47)</f>
        <v>617</v>
      </c>
      <c r="K48" s="5">
        <f>SUM(K45:K47)</f>
        <v>1181</v>
      </c>
    </row>
    <row r="49" spans="1:11">
      <c r="H49" s="667" t="s">
        <v>0</v>
      </c>
      <c r="I49" s="667"/>
    </row>
    <row r="50" spans="1:11" ht="15" customHeight="1">
      <c r="A50" s="667" t="s">
        <v>0</v>
      </c>
      <c r="B50" s="667"/>
      <c r="D50" s="667" t="s">
        <v>0</v>
      </c>
      <c r="E50" s="667"/>
      <c r="H50" s="1" t="s">
        <v>1</v>
      </c>
      <c r="I50" s="2">
        <v>45336</v>
      </c>
      <c r="K50" s="342"/>
    </row>
    <row r="51" spans="1:11">
      <c r="A51" s="1" t="s">
        <v>1</v>
      </c>
      <c r="B51" s="2">
        <v>45330</v>
      </c>
      <c r="D51" s="1" t="s">
        <v>1</v>
      </c>
      <c r="E51" s="2">
        <v>45331</v>
      </c>
      <c r="H51" s="1" t="s">
        <v>2</v>
      </c>
      <c r="I51" s="1" t="s">
        <v>3</v>
      </c>
      <c r="K51" s="2">
        <v>45337</v>
      </c>
    </row>
    <row r="52" spans="1:11">
      <c r="A52" s="1" t="s">
        <v>2</v>
      </c>
      <c r="B52" s="1" t="s">
        <v>3</v>
      </c>
      <c r="D52" s="1" t="s">
        <v>2</v>
      </c>
      <c r="E52" s="1" t="s">
        <v>3</v>
      </c>
      <c r="H52" s="3" t="s">
        <v>10</v>
      </c>
      <c r="I52" s="3">
        <v>525</v>
      </c>
      <c r="K52" s="1" t="s">
        <v>3</v>
      </c>
    </row>
    <row r="53" spans="1:11">
      <c r="A53" s="3" t="s">
        <v>41</v>
      </c>
      <c r="B53" s="3">
        <v>493</v>
      </c>
      <c r="D53" s="3" t="s">
        <v>27</v>
      </c>
      <c r="E53" s="4">
        <v>770</v>
      </c>
      <c r="H53" s="3" t="s">
        <v>33</v>
      </c>
      <c r="I53" s="4">
        <v>15</v>
      </c>
      <c r="K53" s="4">
        <v>124</v>
      </c>
    </row>
    <row r="54" spans="1:11">
      <c r="A54" s="3" t="s">
        <v>32</v>
      </c>
      <c r="B54" s="3">
        <v>759</v>
      </c>
      <c r="D54" s="5" t="s">
        <v>4</v>
      </c>
      <c r="E54" s="5">
        <f>SUM(E53:E53)</f>
        <v>770</v>
      </c>
      <c r="H54" s="5" t="s">
        <v>4</v>
      </c>
      <c r="I54" s="5">
        <f>SUM(I52:I53)</f>
        <v>540</v>
      </c>
      <c r="K54" s="5">
        <f>SUM(K53:K53)</f>
        <v>124</v>
      </c>
    </row>
    <row r="55" spans="1:11">
      <c r="A55" s="3" t="s">
        <v>27</v>
      </c>
      <c r="B55" s="4">
        <v>74</v>
      </c>
    </row>
    <row r="56" spans="1:11" ht="15" customHeight="1">
      <c r="A56" s="5" t="s">
        <v>4</v>
      </c>
      <c r="B56" s="5">
        <f>SUM(B53:B55)</f>
        <v>1326</v>
      </c>
      <c r="D56" s="667" t="s">
        <v>0</v>
      </c>
      <c r="E56" s="667"/>
      <c r="H56" s="667" t="s">
        <v>0</v>
      </c>
      <c r="I56" s="667"/>
      <c r="K56" s="342"/>
    </row>
    <row r="57" spans="1:11">
      <c r="D57" s="1" t="s">
        <v>1</v>
      </c>
      <c r="E57" s="2">
        <v>45341</v>
      </c>
      <c r="H57" s="1" t="s">
        <v>1</v>
      </c>
      <c r="I57" s="2">
        <v>45342</v>
      </c>
      <c r="K57" s="2">
        <v>45343</v>
      </c>
    </row>
    <row r="58" spans="1:11">
      <c r="D58" s="1" t="s">
        <v>2</v>
      </c>
      <c r="E58" s="1" t="s">
        <v>3</v>
      </c>
      <c r="H58" s="1" t="s">
        <v>2</v>
      </c>
      <c r="I58" s="1" t="s">
        <v>3</v>
      </c>
      <c r="J58" t="s">
        <v>42</v>
      </c>
      <c r="K58" s="1" t="s">
        <v>3</v>
      </c>
    </row>
    <row r="59" spans="1:11">
      <c r="D59" s="3" t="s">
        <v>33</v>
      </c>
      <c r="E59" s="4">
        <v>46</v>
      </c>
      <c r="H59" s="3" t="s">
        <v>33</v>
      </c>
      <c r="I59" s="3">
        <v>75</v>
      </c>
      <c r="K59" s="3">
        <v>223</v>
      </c>
    </row>
    <row r="60" spans="1:11">
      <c r="D60" s="5" t="s">
        <v>4</v>
      </c>
      <c r="E60" s="5">
        <f>SUM(E59:E59)</f>
        <v>46</v>
      </c>
      <c r="H60" s="3" t="s">
        <v>20</v>
      </c>
      <c r="I60" s="3">
        <v>227</v>
      </c>
      <c r="K60" s="4">
        <v>220</v>
      </c>
    </row>
    <row r="61" spans="1:11">
      <c r="H61" s="3" t="s">
        <v>30</v>
      </c>
      <c r="I61" s="4">
        <v>220</v>
      </c>
      <c r="K61" s="5">
        <f>SUM(K59:K60)</f>
        <v>443</v>
      </c>
    </row>
    <row r="62" spans="1:11">
      <c r="D62" s="667" t="s">
        <v>44</v>
      </c>
      <c r="E62" s="667"/>
      <c r="H62" s="5" t="s">
        <v>4</v>
      </c>
      <c r="I62" s="5">
        <f>SUM(I59:I61)</f>
        <v>522</v>
      </c>
    </row>
    <row r="63" spans="1:11" ht="15" customHeight="1">
      <c r="D63" s="1" t="s">
        <v>1</v>
      </c>
      <c r="E63" s="2">
        <v>45344</v>
      </c>
      <c r="K63" s="342"/>
    </row>
    <row r="64" spans="1:11">
      <c r="D64" s="1" t="s">
        <v>2</v>
      </c>
      <c r="E64" s="1" t="s">
        <v>3</v>
      </c>
      <c r="H64" s="667" t="s">
        <v>44</v>
      </c>
      <c r="I64" s="667"/>
      <c r="J64" t="s">
        <v>43</v>
      </c>
      <c r="K64" s="2">
        <v>45346</v>
      </c>
    </row>
    <row r="65" spans="1:31">
      <c r="A65" s="3" t="s">
        <v>2</v>
      </c>
      <c r="B65" s="3" t="s">
        <v>10</v>
      </c>
      <c r="D65" s="3" t="s">
        <v>26</v>
      </c>
      <c r="E65" s="3">
        <v>400</v>
      </c>
      <c r="H65" s="1" t="s">
        <v>1</v>
      </c>
      <c r="I65" s="2">
        <v>45345</v>
      </c>
      <c r="K65" s="1" t="s">
        <v>3</v>
      </c>
    </row>
    <row r="66" spans="1:31">
      <c r="A66" s="3" t="s">
        <v>47</v>
      </c>
      <c r="B66" s="3">
        <v>12</v>
      </c>
      <c r="D66" s="3" t="s">
        <v>10</v>
      </c>
      <c r="E66" s="4">
        <v>194</v>
      </c>
      <c r="H66" s="1" t="s">
        <v>2</v>
      </c>
      <c r="I66" s="1" t="s">
        <v>3</v>
      </c>
      <c r="K66" s="4">
        <v>480</v>
      </c>
    </row>
    <row r="67" spans="1:31">
      <c r="A67" s="3" t="s">
        <v>48</v>
      </c>
      <c r="B67" s="3">
        <v>9</v>
      </c>
      <c r="D67" s="5" t="s">
        <v>4</v>
      </c>
      <c r="E67" s="5">
        <f>SUM(E65:E66)</f>
        <v>594</v>
      </c>
      <c r="H67" s="3" t="s">
        <v>10</v>
      </c>
      <c r="I67" s="3">
        <v>256</v>
      </c>
      <c r="K67" s="5">
        <f>SUM(K66:K66)</f>
        <v>480</v>
      </c>
    </row>
    <row r="68" spans="1:31">
      <c r="A68" s="3" t="s">
        <v>49</v>
      </c>
      <c r="B68" s="3">
        <v>11</v>
      </c>
      <c r="H68" s="3" t="s">
        <v>26</v>
      </c>
      <c r="I68" s="4">
        <v>334</v>
      </c>
    </row>
    <row r="69" spans="1:31">
      <c r="A69" s="3" t="s">
        <v>50</v>
      </c>
      <c r="B69" s="3">
        <v>81</v>
      </c>
      <c r="D69" s="667" t="s">
        <v>0</v>
      </c>
      <c r="E69" s="667"/>
      <c r="H69" s="5" t="s">
        <v>4</v>
      </c>
      <c r="I69" s="5">
        <f>SUM(I67:I68)</f>
        <v>590</v>
      </c>
    </row>
    <row r="70" spans="1:31" ht="15" customHeight="1">
      <c r="A70" s="3" t="s">
        <v>51</v>
      </c>
      <c r="B70" s="3">
        <v>16</v>
      </c>
      <c r="D70" s="1" t="s">
        <v>1</v>
      </c>
      <c r="E70" s="2">
        <v>45348</v>
      </c>
      <c r="K70" s="342"/>
    </row>
    <row r="71" spans="1:31">
      <c r="A71" s="3" t="s">
        <v>52</v>
      </c>
      <c r="B71" s="3">
        <v>9</v>
      </c>
      <c r="D71" s="1" t="s">
        <v>2</v>
      </c>
      <c r="E71" s="1" t="s">
        <v>3</v>
      </c>
      <c r="H71" s="667" t="s">
        <v>0</v>
      </c>
      <c r="I71" s="667"/>
      <c r="K71" s="2">
        <v>45351</v>
      </c>
    </row>
    <row r="72" spans="1:31">
      <c r="D72" s="3" t="s">
        <v>17</v>
      </c>
      <c r="E72" s="3">
        <v>473</v>
      </c>
      <c r="H72" s="1" t="s">
        <v>1</v>
      </c>
      <c r="I72" s="2">
        <v>45349</v>
      </c>
      <c r="K72" s="1" t="s">
        <v>3</v>
      </c>
    </row>
    <row r="73" spans="1:31">
      <c r="A73" s="6" t="s">
        <v>2</v>
      </c>
      <c r="B73" s="5" t="s">
        <v>17</v>
      </c>
      <c r="D73" s="3" t="s">
        <v>10</v>
      </c>
      <c r="E73" s="4">
        <v>83</v>
      </c>
      <c r="H73" s="1" t="s">
        <v>2</v>
      </c>
      <c r="I73" s="1" t="s">
        <v>3</v>
      </c>
      <c r="K73" s="3">
        <v>231</v>
      </c>
    </row>
    <row r="74" spans="1:31">
      <c r="A74" s="6" t="s">
        <v>53</v>
      </c>
      <c r="B74" s="6">
        <v>1</v>
      </c>
      <c r="D74" s="5" t="s">
        <v>4</v>
      </c>
      <c r="E74" s="5">
        <f>SUM(E72:E73)</f>
        <v>556</v>
      </c>
      <c r="H74" s="3" t="s">
        <v>10</v>
      </c>
      <c r="I74" s="3">
        <v>635</v>
      </c>
      <c r="K74" s="4">
        <v>388</v>
      </c>
    </row>
    <row r="75" spans="1:31">
      <c r="A75" s="6" t="s">
        <v>54</v>
      </c>
      <c r="B75" s="6">
        <v>1</v>
      </c>
      <c r="H75" s="3" t="s">
        <v>17</v>
      </c>
      <c r="I75" s="4">
        <v>218</v>
      </c>
      <c r="K75" s="5">
        <f>SUM(K73:K74)</f>
        <v>619</v>
      </c>
    </row>
    <row r="76" spans="1:31">
      <c r="A76" s="6" t="s">
        <v>55</v>
      </c>
      <c r="B76" s="6">
        <v>5</v>
      </c>
      <c r="D76" s="667" t="s">
        <v>0</v>
      </c>
      <c r="E76" s="667"/>
      <c r="H76" s="5" t="s">
        <v>4</v>
      </c>
      <c r="I76" s="5">
        <f>SUM(I74:I75)</f>
        <v>853</v>
      </c>
      <c r="AE76" t="s">
        <v>45</v>
      </c>
    </row>
    <row r="77" spans="1:31" ht="15" customHeight="1">
      <c r="A77" s="6" t="s">
        <v>56</v>
      </c>
      <c r="B77" s="6">
        <v>15</v>
      </c>
      <c r="D77" s="1" t="s">
        <v>1</v>
      </c>
      <c r="E77" s="2" t="s">
        <v>57</v>
      </c>
      <c r="K77" s="342"/>
      <c r="AE77" t="s">
        <v>46</v>
      </c>
    </row>
    <row r="78" spans="1:31">
      <c r="D78" s="1" t="s">
        <v>2</v>
      </c>
      <c r="E78" s="26" t="s">
        <v>45</v>
      </c>
      <c r="H78" s="667" t="s">
        <v>0</v>
      </c>
      <c r="I78" s="667"/>
      <c r="K78" s="2">
        <v>45353</v>
      </c>
    </row>
    <row r="79" spans="1:31">
      <c r="D79" s="3" t="s">
        <v>17</v>
      </c>
      <c r="E79" s="3">
        <v>1382</v>
      </c>
      <c r="H79" s="1" t="s">
        <v>1</v>
      </c>
      <c r="I79" s="2">
        <v>45352</v>
      </c>
      <c r="K79" s="1" t="s">
        <v>3</v>
      </c>
    </row>
    <row r="80" spans="1:31">
      <c r="D80" s="3" t="s">
        <v>18</v>
      </c>
      <c r="E80" s="4">
        <v>1092</v>
      </c>
      <c r="H80" s="1" t="s">
        <v>2</v>
      </c>
      <c r="I80" s="1" t="s">
        <v>3</v>
      </c>
      <c r="K80" s="3">
        <v>381</v>
      </c>
    </row>
    <row r="81" spans="1:11">
      <c r="A81" s="667" t="s">
        <v>0</v>
      </c>
      <c r="B81" s="667"/>
      <c r="D81" s="5" t="s">
        <v>4</v>
      </c>
      <c r="E81" s="5">
        <f>SUM(E79:E80)</f>
        <v>2474</v>
      </c>
      <c r="H81" s="3" t="s">
        <v>33</v>
      </c>
      <c r="I81" s="3">
        <v>412</v>
      </c>
      <c r="K81" s="3">
        <v>333</v>
      </c>
    </row>
    <row r="82" spans="1:11">
      <c r="A82" s="1" t="s">
        <v>1</v>
      </c>
      <c r="B82" s="2">
        <v>45355</v>
      </c>
      <c r="H82" s="3" t="s">
        <v>58</v>
      </c>
      <c r="I82" s="4">
        <v>22</v>
      </c>
      <c r="K82" s="5">
        <f>SUM(K80:K81)</f>
        <v>714</v>
      </c>
    </row>
    <row r="83" spans="1:11">
      <c r="A83" s="1" t="s">
        <v>2</v>
      </c>
      <c r="B83" s="1" t="s">
        <v>3</v>
      </c>
      <c r="D83" s="667" t="s">
        <v>0</v>
      </c>
      <c r="E83" s="667"/>
      <c r="H83" s="5" t="s">
        <v>4</v>
      </c>
      <c r="I83" s="5">
        <f>SUM(I81:I82)</f>
        <v>434</v>
      </c>
    </row>
    <row r="84" spans="1:11" ht="15" customHeight="1">
      <c r="A84" s="3" t="s">
        <v>26</v>
      </c>
      <c r="B84" s="3">
        <v>800</v>
      </c>
      <c r="D84" s="1" t="s">
        <v>1</v>
      </c>
      <c r="E84" s="2">
        <v>45356</v>
      </c>
      <c r="K84" s="342"/>
    </row>
    <row r="85" spans="1:11">
      <c r="A85" s="3" t="s">
        <v>18</v>
      </c>
      <c r="B85" s="3">
        <v>44</v>
      </c>
      <c r="D85" s="1" t="s">
        <v>2</v>
      </c>
      <c r="E85" s="1" t="s">
        <v>3</v>
      </c>
      <c r="H85" s="1" t="s">
        <v>1</v>
      </c>
      <c r="I85" s="2">
        <v>45357</v>
      </c>
      <c r="K85" s="2">
        <v>45362</v>
      </c>
    </row>
    <row r="86" spans="1:11">
      <c r="A86" s="5" t="s">
        <v>4</v>
      </c>
      <c r="B86" s="5">
        <f>SUM(B84:B85)</f>
        <v>844</v>
      </c>
      <c r="D86" s="3" t="s">
        <v>18</v>
      </c>
      <c r="E86" s="3">
        <v>1289</v>
      </c>
      <c r="H86" s="1" t="s">
        <v>2</v>
      </c>
      <c r="I86" s="1" t="s">
        <v>3</v>
      </c>
      <c r="K86" s="1" t="s">
        <v>3</v>
      </c>
    </row>
    <row r="87" spans="1:11">
      <c r="D87" s="3" t="s">
        <v>17</v>
      </c>
      <c r="E87" s="3">
        <v>168</v>
      </c>
      <c r="H87" s="3" t="s">
        <v>17</v>
      </c>
      <c r="I87" s="3">
        <v>777</v>
      </c>
      <c r="K87" s="3">
        <v>594</v>
      </c>
    </row>
    <row r="88" spans="1:11">
      <c r="D88" s="5" t="s">
        <v>4</v>
      </c>
      <c r="E88" s="5">
        <f>SUM(E86:E87)</f>
        <v>1457</v>
      </c>
      <c r="H88" s="5" t="s">
        <v>4</v>
      </c>
      <c r="I88" s="5">
        <f>SUM(I87:I87)</f>
        <v>777</v>
      </c>
      <c r="K88" s="3">
        <v>130</v>
      </c>
    </row>
    <row r="89" spans="1:11">
      <c r="K89" s="5">
        <f>SUM(K87:K88)</f>
        <v>724</v>
      </c>
    </row>
    <row r="90" spans="1:11">
      <c r="D90" s="667" t="s">
        <v>0</v>
      </c>
      <c r="E90" s="667"/>
      <c r="H90" s="667" t="s">
        <v>0</v>
      </c>
      <c r="I90" s="667"/>
    </row>
    <row r="91" spans="1:11" ht="15" customHeight="1">
      <c r="D91" s="1" t="s">
        <v>1</v>
      </c>
      <c r="E91" s="2">
        <v>45363</v>
      </c>
      <c r="H91" s="1" t="s">
        <v>1</v>
      </c>
      <c r="I91" s="2">
        <v>45364</v>
      </c>
      <c r="K91" s="342"/>
    </row>
    <row r="92" spans="1:11">
      <c r="D92" s="1" t="s">
        <v>2</v>
      </c>
      <c r="E92" s="1" t="s">
        <v>3</v>
      </c>
      <c r="H92" s="1" t="s">
        <v>2</v>
      </c>
      <c r="I92" s="1" t="s">
        <v>3</v>
      </c>
      <c r="K92" s="2">
        <v>45365</v>
      </c>
    </row>
    <row r="93" spans="1:11">
      <c r="D93" s="3" t="s">
        <v>19</v>
      </c>
      <c r="E93" s="3">
        <v>670</v>
      </c>
      <c r="H93" s="3" t="s">
        <v>16</v>
      </c>
      <c r="I93" s="3">
        <v>778</v>
      </c>
      <c r="K93" s="1" t="s">
        <v>3</v>
      </c>
    </row>
    <row r="94" spans="1:11">
      <c r="D94" s="3" t="s">
        <v>16</v>
      </c>
      <c r="E94" s="3">
        <v>22</v>
      </c>
      <c r="H94" s="5" t="s">
        <v>4</v>
      </c>
      <c r="I94" s="5">
        <f>SUM(I93:I93)</f>
        <v>778</v>
      </c>
      <c r="K94" s="3">
        <v>536</v>
      </c>
    </row>
    <row r="95" spans="1:11">
      <c r="D95" s="5" t="s">
        <v>4</v>
      </c>
      <c r="E95" s="5">
        <f>SUM(E93:E94)</f>
        <v>692</v>
      </c>
      <c r="K95" s="5">
        <f>SUM(K94:K94)</f>
        <v>536</v>
      </c>
    </row>
    <row r="97" spans="4:12">
      <c r="D97" s="667" t="s">
        <v>0</v>
      </c>
      <c r="E97" s="667"/>
      <c r="H97" s="679" t="s">
        <v>65</v>
      </c>
      <c r="I97" s="679"/>
      <c r="J97" s="679"/>
      <c r="K97" s="667" t="s">
        <v>0</v>
      </c>
      <c r="L97" s="667"/>
    </row>
    <row r="98" spans="4:12">
      <c r="D98" s="1" t="s">
        <v>1</v>
      </c>
      <c r="E98" s="2">
        <v>45366</v>
      </c>
      <c r="H98" s="1"/>
      <c r="I98" s="1" t="s">
        <v>61</v>
      </c>
      <c r="J98" s="1" t="s">
        <v>62</v>
      </c>
      <c r="K98" s="7" t="s">
        <v>1</v>
      </c>
      <c r="L98" s="2">
        <v>45367</v>
      </c>
    </row>
    <row r="99" spans="4:12">
      <c r="D99" s="1" t="s">
        <v>2</v>
      </c>
      <c r="E99" s="1" t="s">
        <v>3</v>
      </c>
      <c r="H99" s="1" t="s">
        <v>60</v>
      </c>
      <c r="I99" s="4">
        <v>193</v>
      </c>
      <c r="J99" s="4" t="s">
        <v>64</v>
      </c>
      <c r="K99" s="7" t="s">
        <v>2</v>
      </c>
      <c r="L99" s="7" t="s">
        <v>3</v>
      </c>
    </row>
    <row r="100" spans="4:12">
      <c r="D100" s="3" t="s">
        <v>59</v>
      </c>
      <c r="E100" s="3">
        <v>689</v>
      </c>
      <c r="H100" s="1" t="s">
        <v>63</v>
      </c>
      <c r="I100" s="4">
        <v>193</v>
      </c>
      <c r="J100" s="4" t="s">
        <v>64</v>
      </c>
      <c r="K100" s="4" t="s">
        <v>66</v>
      </c>
      <c r="L100" s="4">
        <v>420</v>
      </c>
    </row>
    <row r="101" spans="4:12">
      <c r="D101" s="5" t="s">
        <v>4</v>
      </c>
      <c r="E101" s="5">
        <f>SUM(E100:E100)</f>
        <v>689</v>
      </c>
      <c r="K101" s="3" t="s">
        <v>34</v>
      </c>
      <c r="L101" s="3">
        <v>239</v>
      </c>
    </row>
    <row r="102" spans="4:12">
      <c r="H102" s="667" t="s">
        <v>0</v>
      </c>
      <c r="I102" s="667"/>
      <c r="K102" s="5" t="s">
        <v>4</v>
      </c>
      <c r="L102" s="5">
        <f>SUM(L100:L101)</f>
        <v>659</v>
      </c>
    </row>
    <row r="103" spans="4:12" ht="15" customHeight="1">
      <c r="D103" s="667" t="s">
        <v>0</v>
      </c>
      <c r="E103" s="667"/>
      <c r="H103" s="9" t="s">
        <v>1</v>
      </c>
      <c r="I103" s="2">
        <v>45370</v>
      </c>
      <c r="K103" s="342"/>
    </row>
    <row r="104" spans="4:12">
      <c r="D104" s="8" t="s">
        <v>1</v>
      </c>
      <c r="E104" s="2">
        <v>45369</v>
      </c>
      <c r="H104" s="9" t="s">
        <v>2</v>
      </c>
      <c r="I104" s="9" t="s">
        <v>3</v>
      </c>
      <c r="K104" s="2">
        <v>45371</v>
      </c>
    </row>
    <row r="105" spans="4:12">
      <c r="D105" s="8" t="s">
        <v>2</v>
      </c>
      <c r="E105" s="8" t="s">
        <v>3</v>
      </c>
      <c r="H105" s="3" t="s">
        <v>37</v>
      </c>
      <c r="I105" s="3">
        <v>278</v>
      </c>
      <c r="K105" s="10" t="s">
        <v>3</v>
      </c>
    </row>
    <row r="106" spans="4:12">
      <c r="D106" s="3" t="s">
        <v>34</v>
      </c>
      <c r="E106" s="3">
        <v>266</v>
      </c>
      <c r="H106" s="3" t="s">
        <v>40</v>
      </c>
      <c r="I106" s="3">
        <v>500</v>
      </c>
      <c r="K106" s="3">
        <v>283</v>
      </c>
    </row>
    <row r="107" spans="4:12">
      <c r="D107" s="3" t="s">
        <v>39</v>
      </c>
      <c r="E107" s="3">
        <v>500</v>
      </c>
      <c r="H107" s="3" t="s">
        <v>41</v>
      </c>
      <c r="I107" s="3">
        <v>217</v>
      </c>
      <c r="K107" s="3">
        <v>420</v>
      </c>
    </row>
    <row r="108" spans="4:12">
      <c r="D108" s="3" t="s">
        <v>37</v>
      </c>
      <c r="E108" s="3">
        <v>222</v>
      </c>
      <c r="H108" s="5" t="s">
        <v>4</v>
      </c>
      <c r="I108" s="5">
        <f>SUM(I105:I107)</f>
        <v>995</v>
      </c>
      <c r="K108" s="3">
        <v>413</v>
      </c>
    </row>
    <row r="109" spans="4:12">
      <c r="D109" s="5" t="s">
        <v>4</v>
      </c>
      <c r="E109" s="5">
        <f>SUM(E106:E108)</f>
        <v>988</v>
      </c>
      <c r="K109" s="5">
        <f>SUM(K106:K108)</f>
        <v>1116</v>
      </c>
    </row>
    <row r="110" spans="4:12">
      <c r="H110" s="667" t="s">
        <v>0</v>
      </c>
      <c r="I110" s="667"/>
    </row>
    <row r="111" spans="4:12" ht="15" customHeight="1">
      <c r="D111" s="667" t="s">
        <v>0</v>
      </c>
      <c r="E111" s="667"/>
      <c r="H111" s="12" t="s">
        <v>1</v>
      </c>
      <c r="I111" s="2">
        <v>45373</v>
      </c>
      <c r="K111" s="342"/>
    </row>
    <row r="112" spans="4:12">
      <c r="D112" s="11" t="s">
        <v>1</v>
      </c>
      <c r="E112" s="2">
        <v>45372</v>
      </c>
      <c r="H112" s="12" t="s">
        <v>2</v>
      </c>
      <c r="I112" s="12" t="s">
        <v>3</v>
      </c>
      <c r="K112" s="2">
        <v>45374</v>
      </c>
    </row>
    <row r="113" spans="4:11">
      <c r="D113" s="11" t="s">
        <v>2</v>
      </c>
      <c r="E113" s="11" t="s">
        <v>3</v>
      </c>
      <c r="H113" s="3" t="s">
        <v>69</v>
      </c>
      <c r="I113" s="3">
        <v>143</v>
      </c>
      <c r="K113" s="13" t="s">
        <v>3</v>
      </c>
    </row>
    <row r="114" spans="4:11">
      <c r="D114" s="3" t="s">
        <v>38</v>
      </c>
      <c r="E114" s="3">
        <v>60</v>
      </c>
      <c r="H114" s="3" t="s">
        <v>70</v>
      </c>
      <c r="I114" s="3">
        <v>350</v>
      </c>
      <c r="K114" s="4">
        <v>62</v>
      </c>
    </row>
    <row r="115" spans="4:11">
      <c r="D115" s="3" t="s">
        <v>67</v>
      </c>
      <c r="E115" s="3">
        <v>818</v>
      </c>
      <c r="H115" s="3" t="s">
        <v>32</v>
      </c>
      <c r="I115" s="3">
        <v>538</v>
      </c>
      <c r="K115" s="3">
        <v>1200</v>
      </c>
    </row>
    <row r="116" spans="4:11">
      <c r="D116" s="3" t="s">
        <v>68</v>
      </c>
      <c r="E116" s="3">
        <v>250</v>
      </c>
      <c r="H116" s="5" t="s">
        <v>4</v>
      </c>
      <c r="I116" s="5">
        <f>SUM(I113:I115)</f>
        <v>1031</v>
      </c>
      <c r="K116" s="3">
        <v>261</v>
      </c>
    </row>
    <row r="117" spans="4:11">
      <c r="D117" s="3" t="s">
        <v>69</v>
      </c>
      <c r="E117" s="3">
        <v>116</v>
      </c>
      <c r="K117" s="5">
        <f>SUM(K114:K116)</f>
        <v>1523</v>
      </c>
    </row>
    <row r="118" spans="4:11">
      <c r="D118" s="5" t="s">
        <v>4</v>
      </c>
      <c r="E118" s="5">
        <f>SUM(E114:E117)</f>
        <v>1244</v>
      </c>
    </row>
    <row r="119" spans="4:11" ht="15" customHeight="1">
      <c r="H119" s="667" t="s">
        <v>0</v>
      </c>
      <c r="I119" s="667"/>
      <c r="K119" s="342"/>
    </row>
    <row r="120" spans="4:11">
      <c r="D120" s="667" t="s">
        <v>0</v>
      </c>
      <c r="E120" s="667"/>
      <c r="H120" s="15" t="s">
        <v>1</v>
      </c>
      <c r="I120" s="2">
        <v>45377</v>
      </c>
      <c r="K120" s="2">
        <v>45378</v>
      </c>
    </row>
    <row r="121" spans="4:11">
      <c r="D121" s="14" t="s">
        <v>1</v>
      </c>
      <c r="E121" s="2">
        <v>45376</v>
      </c>
      <c r="H121" s="15" t="s">
        <v>2</v>
      </c>
      <c r="I121" s="15" t="s">
        <v>3</v>
      </c>
      <c r="K121" s="16" t="s">
        <v>3</v>
      </c>
    </row>
    <row r="122" spans="4:11">
      <c r="D122" s="14" t="s">
        <v>2</v>
      </c>
      <c r="E122" s="14" t="s">
        <v>3</v>
      </c>
      <c r="H122" s="3" t="s">
        <v>71</v>
      </c>
      <c r="I122" s="3">
        <v>525</v>
      </c>
      <c r="K122" s="3">
        <v>525</v>
      </c>
    </row>
    <row r="123" spans="4:11">
      <c r="D123" s="3" t="s">
        <v>17</v>
      </c>
      <c r="E123" s="3">
        <v>849</v>
      </c>
      <c r="H123" s="5" t="s">
        <v>4</v>
      </c>
      <c r="I123" s="5">
        <f>SUM(I122:I122)</f>
        <v>525</v>
      </c>
      <c r="K123" s="5">
        <f>SUM(K122:K122)</f>
        <v>525</v>
      </c>
    </row>
    <row r="124" spans="4:11">
      <c r="D124" s="5" t="s">
        <v>4</v>
      </c>
      <c r="E124" s="5">
        <f>SUM(E123:E123)</f>
        <v>849</v>
      </c>
    </row>
    <row r="125" spans="4:11" ht="15" customHeight="1">
      <c r="H125" s="667" t="s">
        <v>0</v>
      </c>
      <c r="I125" s="667"/>
      <c r="K125" s="342"/>
    </row>
    <row r="126" spans="4:11">
      <c r="D126" s="667" t="s">
        <v>0</v>
      </c>
      <c r="E126" s="667"/>
      <c r="H126" s="18" t="s">
        <v>1</v>
      </c>
      <c r="I126" s="2">
        <v>45384</v>
      </c>
      <c r="K126" s="2">
        <v>45385</v>
      </c>
    </row>
    <row r="127" spans="4:11">
      <c r="D127" s="17" t="s">
        <v>1</v>
      </c>
      <c r="E127" s="2">
        <v>45383</v>
      </c>
      <c r="H127" s="18" t="s">
        <v>2</v>
      </c>
      <c r="I127" s="18" t="s">
        <v>3</v>
      </c>
      <c r="K127" s="19" t="s">
        <v>3</v>
      </c>
    </row>
    <row r="128" spans="4:11">
      <c r="D128" s="17" t="s">
        <v>2</v>
      </c>
      <c r="E128" s="17" t="s">
        <v>3</v>
      </c>
      <c r="H128" s="3" t="s">
        <v>73</v>
      </c>
      <c r="I128" s="4">
        <v>476</v>
      </c>
      <c r="K128" s="4">
        <v>337</v>
      </c>
    </row>
    <row r="129" spans="4:11">
      <c r="D129" s="3" t="s">
        <v>72</v>
      </c>
      <c r="E129" s="4">
        <v>545</v>
      </c>
      <c r="H129" s="3" t="s">
        <v>74</v>
      </c>
      <c r="I129" s="3">
        <v>188</v>
      </c>
      <c r="K129" s="3">
        <v>271</v>
      </c>
    </row>
    <row r="130" spans="4:11">
      <c r="D130" s="3" t="s">
        <v>73</v>
      </c>
      <c r="E130" s="3">
        <v>49</v>
      </c>
      <c r="H130" s="5" t="s">
        <v>4</v>
      </c>
      <c r="I130" s="5">
        <f>SUM(I128:I129)</f>
        <v>664</v>
      </c>
      <c r="K130" s="5">
        <f>SUM(K128:K129)</f>
        <v>608</v>
      </c>
    </row>
    <row r="131" spans="4:11">
      <c r="D131" s="5" t="s">
        <v>4</v>
      </c>
      <c r="E131" s="5">
        <f>SUM(E129:E130)</f>
        <v>594</v>
      </c>
    </row>
    <row r="132" spans="4:11" ht="15" customHeight="1">
      <c r="H132" s="667" t="s">
        <v>0</v>
      </c>
      <c r="I132" s="667"/>
      <c r="K132" s="342"/>
    </row>
    <row r="133" spans="4:11">
      <c r="D133" s="667" t="s">
        <v>0</v>
      </c>
      <c r="E133" s="667"/>
      <c r="H133" s="21" t="s">
        <v>1</v>
      </c>
      <c r="I133" s="2">
        <v>45390</v>
      </c>
      <c r="K133" s="2">
        <v>45391</v>
      </c>
    </row>
    <row r="134" spans="4:11">
      <c r="D134" s="20" t="s">
        <v>1</v>
      </c>
      <c r="E134" s="2">
        <v>45386</v>
      </c>
      <c r="H134" s="21" t="s">
        <v>2</v>
      </c>
      <c r="I134" s="21" t="s">
        <v>3</v>
      </c>
      <c r="K134" s="22" t="s">
        <v>3</v>
      </c>
    </row>
    <row r="135" spans="4:11">
      <c r="D135" s="20" t="s">
        <v>2</v>
      </c>
      <c r="E135" s="20" t="s">
        <v>3</v>
      </c>
      <c r="H135" s="3" t="s">
        <v>26</v>
      </c>
      <c r="I135" s="4">
        <v>151</v>
      </c>
      <c r="K135" s="4">
        <v>175</v>
      </c>
    </row>
    <row r="136" spans="4:11">
      <c r="D136" s="3" t="s">
        <v>75</v>
      </c>
      <c r="E136" s="4">
        <v>469</v>
      </c>
      <c r="H136" s="3" t="s">
        <v>77</v>
      </c>
      <c r="I136" s="3">
        <v>15</v>
      </c>
      <c r="K136" s="5">
        <f>SUM(K135:K135)</f>
        <v>175</v>
      </c>
    </row>
    <row r="137" spans="4:11">
      <c r="D137" s="3" t="s">
        <v>76</v>
      </c>
      <c r="E137" s="3">
        <v>319</v>
      </c>
      <c r="H137" s="5" t="s">
        <v>4</v>
      </c>
      <c r="I137" s="5">
        <f>SUM(I135:I136)</f>
        <v>166</v>
      </c>
    </row>
    <row r="138" spans="4:11" ht="15" customHeight="1">
      <c r="D138" s="5" t="s">
        <v>4</v>
      </c>
      <c r="E138" s="5">
        <f>SUM(E136:E137)</f>
        <v>788</v>
      </c>
      <c r="K138" s="342"/>
    </row>
    <row r="139" spans="4:11">
      <c r="H139" s="667" t="s">
        <v>0</v>
      </c>
      <c r="I139" s="667"/>
      <c r="K139" s="2">
        <v>45394</v>
      </c>
    </row>
    <row r="140" spans="4:11">
      <c r="D140" s="667" t="s">
        <v>0</v>
      </c>
      <c r="E140" s="667"/>
      <c r="H140" s="24" t="s">
        <v>1</v>
      </c>
      <c r="I140" s="2">
        <v>45393</v>
      </c>
      <c r="K140" s="25" t="s">
        <v>3</v>
      </c>
    </row>
    <row r="141" spans="4:11">
      <c r="D141" s="23" t="s">
        <v>1</v>
      </c>
      <c r="E141" s="2">
        <v>45392</v>
      </c>
      <c r="H141" s="24" t="s">
        <v>2</v>
      </c>
      <c r="I141" s="24" t="s">
        <v>3</v>
      </c>
      <c r="K141" s="4">
        <v>1500</v>
      </c>
    </row>
    <row r="142" spans="4:11">
      <c r="D142" s="23" t="s">
        <v>2</v>
      </c>
      <c r="E142" s="23" t="s">
        <v>3</v>
      </c>
      <c r="H142" s="3" t="s">
        <v>11</v>
      </c>
      <c r="I142" s="4">
        <v>800</v>
      </c>
      <c r="K142" s="3">
        <v>299</v>
      </c>
    </row>
    <row r="143" spans="4:11">
      <c r="D143" s="3" t="s">
        <v>26</v>
      </c>
      <c r="E143" s="4">
        <v>724</v>
      </c>
      <c r="H143" s="5" t="s">
        <v>4</v>
      </c>
      <c r="I143" s="5">
        <f>SUM(I142:I142)</f>
        <v>800</v>
      </c>
      <c r="K143" s="5">
        <f>SUM(K141:K142)</f>
        <v>1799</v>
      </c>
    </row>
    <row r="144" spans="4:11">
      <c r="D144" s="3" t="s">
        <v>78</v>
      </c>
      <c r="E144" s="4">
        <v>2</v>
      </c>
    </row>
    <row r="145" spans="4:11" ht="15" customHeight="1">
      <c r="D145" s="3" t="s">
        <v>70</v>
      </c>
      <c r="E145" s="3">
        <v>6</v>
      </c>
      <c r="H145" s="667" t="s">
        <v>0</v>
      </c>
      <c r="I145" s="667"/>
      <c r="K145" s="342"/>
    </row>
    <row r="146" spans="4:11">
      <c r="D146" s="5" t="s">
        <v>4</v>
      </c>
      <c r="E146" s="5">
        <f>SUM(E143:E145)</f>
        <v>732</v>
      </c>
      <c r="H146" s="27" t="s">
        <v>1</v>
      </c>
      <c r="I146" s="2">
        <v>45396</v>
      </c>
      <c r="K146" s="2">
        <v>45400</v>
      </c>
    </row>
    <row r="147" spans="4:11">
      <c r="H147" s="27" t="s">
        <v>2</v>
      </c>
      <c r="I147" s="27" t="s">
        <v>3</v>
      </c>
      <c r="K147" s="30" t="s">
        <v>3</v>
      </c>
    </row>
    <row r="148" spans="4:11">
      <c r="D148" s="667" t="s">
        <v>0</v>
      </c>
      <c r="E148" s="667"/>
      <c r="H148" s="3" t="s">
        <v>12</v>
      </c>
      <c r="I148" s="4">
        <v>718</v>
      </c>
      <c r="K148" s="4">
        <v>400</v>
      </c>
    </row>
    <row r="149" spans="4:11">
      <c r="D149" s="26" t="s">
        <v>1</v>
      </c>
      <c r="E149" s="2">
        <v>45395</v>
      </c>
      <c r="H149" s="5" t="s">
        <v>4</v>
      </c>
      <c r="I149" s="5">
        <f>SUM(I148:I148)</f>
        <v>718</v>
      </c>
      <c r="K149" s="4">
        <v>400</v>
      </c>
    </row>
    <row r="150" spans="4:11">
      <c r="D150" s="26" t="s">
        <v>2</v>
      </c>
      <c r="E150" s="26" t="s">
        <v>3</v>
      </c>
      <c r="K150" s="5">
        <f>SUM(K148:K149)</f>
        <v>800</v>
      </c>
    </row>
    <row r="151" spans="4:11">
      <c r="D151" s="3" t="s">
        <v>18</v>
      </c>
      <c r="E151" s="4">
        <v>2038</v>
      </c>
      <c r="H151" s="667" t="s">
        <v>0</v>
      </c>
      <c r="I151" s="667"/>
    </row>
    <row r="152" spans="4:11" ht="15" customHeight="1">
      <c r="D152" s="5" t="s">
        <v>4</v>
      </c>
      <c r="E152" s="5">
        <f>SUM(E151:E151)</f>
        <v>2038</v>
      </c>
      <c r="H152" s="28" t="s">
        <v>1</v>
      </c>
      <c r="I152" s="2">
        <v>45399</v>
      </c>
      <c r="K152" s="342"/>
    </row>
    <row r="153" spans="4:11">
      <c r="H153" s="28" t="s">
        <v>2</v>
      </c>
      <c r="I153" s="28" t="s">
        <v>3</v>
      </c>
      <c r="K153" s="2">
        <v>45401</v>
      </c>
    </row>
    <row r="154" spans="4:11">
      <c r="D154" s="667" t="s">
        <v>0</v>
      </c>
      <c r="E154" s="667"/>
      <c r="H154" s="3" t="s">
        <v>34</v>
      </c>
      <c r="I154" s="4">
        <v>392</v>
      </c>
      <c r="K154" s="31" t="s">
        <v>3</v>
      </c>
    </row>
    <row r="155" spans="4:11">
      <c r="D155" s="29" t="s">
        <v>1</v>
      </c>
      <c r="E155" s="2">
        <v>45398</v>
      </c>
      <c r="H155" s="3" t="s">
        <v>37</v>
      </c>
      <c r="I155" s="4">
        <v>400</v>
      </c>
      <c r="K155" s="4">
        <v>400</v>
      </c>
    </row>
    <row r="156" spans="4:11">
      <c r="D156" s="29" t="s">
        <v>2</v>
      </c>
      <c r="E156" s="29" t="s">
        <v>3</v>
      </c>
      <c r="H156" s="5" t="s">
        <v>4</v>
      </c>
      <c r="I156" s="5">
        <f>SUM(I154:I155)</f>
        <v>792</v>
      </c>
      <c r="K156" s="4">
        <v>207</v>
      </c>
    </row>
    <row r="157" spans="4:11">
      <c r="D157" s="3" t="s">
        <v>17</v>
      </c>
      <c r="E157" s="4">
        <v>1369</v>
      </c>
      <c r="K157" s="3">
        <v>256</v>
      </c>
    </row>
    <row r="158" spans="4:11">
      <c r="D158" s="3" t="s">
        <v>76</v>
      </c>
      <c r="E158" s="4">
        <v>133</v>
      </c>
      <c r="H158" s="667" t="s">
        <v>0</v>
      </c>
      <c r="I158" s="667"/>
      <c r="K158" s="5">
        <f>SUM(K155:K157)</f>
        <v>863</v>
      </c>
    </row>
    <row r="159" spans="4:11">
      <c r="D159" s="3" t="s">
        <v>34</v>
      </c>
      <c r="E159" s="3">
        <v>18</v>
      </c>
      <c r="H159" s="33" t="s">
        <v>1</v>
      </c>
      <c r="I159" s="2">
        <v>45404</v>
      </c>
    </row>
    <row r="160" spans="4:11" ht="15" customHeight="1">
      <c r="D160" s="5" t="s">
        <v>4</v>
      </c>
      <c r="E160" s="5">
        <f>SUM(E157:E159)</f>
        <v>1520</v>
      </c>
      <c r="H160" s="33" t="s">
        <v>2</v>
      </c>
      <c r="I160" s="33" t="s">
        <v>3</v>
      </c>
      <c r="K160" s="342"/>
    </row>
    <row r="161" spans="4:11">
      <c r="H161" s="3" t="s">
        <v>81</v>
      </c>
      <c r="I161" s="4">
        <v>142</v>
      </c>
      <c r="K161" s="2">
        <v>45405</v>
      </c>
    </row>
    <row r="162" spans="4:11">
      <c r="D162" s="667" t="s">
        <v>0</v>
      </c>
      <c r="E162" s="667"/>
      <c r="H162" s="3" t="s">
        <v>82</v>
      </c>
      <c r="I162" s="4">
        <v>229</v>
      </c>
      <c r="K162" s="34" t="s">
        <v>3</v>
      </c>
    </row>
    <row r="163" spans="4:11">
      <c r="D163" s="32" t="s">
        <v>1</v>
      </c>
      <c r="E163" s="2">
        <v>45402</v>
      </c>
      <c r="H163" s="3" t="s">
        <v>83</v>
      </c>
      <c r="I163" s="4">
        <v>66</v>
      </c>
      <c r="K163" s="4">
        <v>168</v>
      </c>
    </row>
    <row r="164" spans="4:11">
      <c r="D164" s="32" t="s">
        <v>2</v>
      </c>
      <c r="E164" s="32" t="s">
        <v>3</v>
      </c>
      <c r="H164" s="3" t="s">
        <v>84</v>
      </c>
      <c r="I164" s="3">
        <v>70</v>
      </c>
      <c r="K164" s="5">
        <f>SUM(K163:K163)</f>
        <v>168</v>
      </c>
    </row>
    <row r="165" spans="4:11">
      <c r="D165" s="3" t="s">
        <v>39</v>
      </c>
      <c r="E165" s="4">
        <v>533</v>
      </c>
      <c r="H165" s="5" t="s">
        <v>4</v>
      </c>
      <c r="I165" s="5">
        <f>SUM(I161:I164)</f>
        <v>507</v>
      </c>
    </row>
    <row r="166" spans="4:11" ht="15" customHeight="1">
      <c r="D166" s="3" t="s">
        <v>79</v>
      </c>
      <c r="E166" s="4">
        <v>446</v>
      </c>
      <c r="K166" s="342"/>
    </row>
    <row r="167" spans="4:11">
      <c r="D167" s="3" t="s">
        <v>80</v>
      </c>
      <c r="E167" s="4">
        <v>170</v>
      </c>
      <c r="H167" s="667" t="s">
        <v>0</v>
      </c>
      <c r="I167" s="667"/>
      <c r="K167" s="2">
        <v>45407</v>
      </c>
    </row>
    <row r="168" spans="4:11">
      <c r="D168" s="3" t="s">
        <v>81</v>
      </c>
      <c r="E168" s="3">
        <v>285</v>
      </c>
      <c r="H168" s="35" t="s">
        <v>1</v>
      </c>
      <c r="I168" s="2">
        <v>45406</v>
      </c>
      <c r="K168" s="36" t="s">
        <v>3</v>
      </c>
    </row>
    <row r="169" spans="4:11">
      <c r="D169" s="5" t="s">
        <v>4</v>
      </c>
      <c r="E169" s="5">
        <f>SUM(E165:E168)</f>
        <v>1434</v>
      </c>
      <c r="H169" s="35" t="s">
        <v>2</v>
      </c>
      <c r="I169" s="35" t="s">
        <v>3</v>
      </c>
      <c r="K169" s="4">
        <v>256</v>
      </c>
    </row>
    <row r="170" spans="4:11">
      <c r="H170" s="3" t="s">
        <v>20</v>
      </c>
      <c r="I170" s="4">
        <v>473</v>
      </c>
      <c r="K170" s="5">
        <f>SUM(K169:K169)</f>
        <v>256</v>
      </c>
    </row>
    <row r="171" spans="4:11">
      <c r="D171" s="667" t="s">
        <v>0</v>
      </c>
      <c r="E171" s="667"/>
      <c r="H171" s="5" t="s">
        <v>4</v>
      </c>
      <c r="I171" s="5">
        <f>SUM(I170:I170)</f>
        <v>473</v>
      </c>
    </row>
    <row r="172" spans="4:11" ht="15" customHeight="1">
      <c r="D172" s="37" t="s">
        <v>1</v>
      </c>
      <c r="E172" s="2">
        <v>45410</v>
      </c>
      <c r="K172" s="342"/>
    </row>
    <row r="173" spans="4:11">
      <c r="D173" s="37" t="s">
        <v>2</v>
      </c>
      <c r="E173" s="37" t="s">
        <v>3</v>
      </c>
      <c r="H173" s="667" t="s">
        <v>0</v>
      </c>
      <c r="I173" s="667"/>
      <c r="K173" s="2">
        <v>45414</v>
      </c>
    </row>
    <row r="174" spans="4:11">
      <c r="D174" s="3" t="s">
        <v>20</v>
      </c>
      <c r="E174" s="4">
        <v>159</v>
      </c>
      <c r="H174" s="38" t="s">
        <v>1</v>
      </c>
      <c r="I174" s="2">
        <v>45412</v>
      </c>
      <c r="K174" s="39" t="s">
        <v>3</v>
      </c>
    </row>
    <row r="175" spans="4:11">
      <c r="D175" s="3" t="s">
        <v>33</v>
      </c>
      <c r="E175" s="4">
        <v>62</v>
      </c>
      <c r="H175" s="38" t="s">
        <v>2</v>
      </c>
      <c r="I175" s="38" t="s">
        <v>3</v>
      </c>
      <c r="K175" s="4">
        <v>383</v>
      </c>
    </row>
    <row r="176" spans="4:11">
      <c r="D176" s="5" t="s">
        <v>4</v>
      </c>
      <c r="E176" s="5">
        <f>SUM(E174:E175)</f>
        <v>221</v>
      </c>
      <c r="H176" s="3" t="s">
        <v>33</v>
      </c>
      <c r="I176" s="4">
        <v>718</v>
      </c>
      <c r="K176" s="5">
        <f>SUM(K175:K175)</f>
        <v>383</v>
      </c>
    </row>
    <row r="177" spans="4:11">
      <c r="H177" s="5" t="s">
        <v>4</v>
      </c>
      <c r="I177" s="5">
        <f>SUM(I176:I176)</f>
        <v>718</v>
      </c>
    </row>
    <row r="178" spans="4:11" ht="15" customHeight="1">
      <c r="D178" s="667" t="s">
        <v>0</v>
      </c>
      <c r="E178" s="667"/>
      <c r="K178" s="342"/>
    </row>
    <row r="179" spans="4:11">
      <c r="D179" s="40" t="s">
        <v>1</v>
      </c>
      <c r="E179" s="2">
        <v>45415</v>
      </c>
      <c r="H179" s="667" t="s">
        <v>0</v>
      </c>
      <c r="I179" s="667"/>
      <c r="K179" s="2">
        <v>45418</v>
      </c>
    </row>
    <row r="180" spans="4:11">
      <c r="D180" s="40" t="s">
        <v>2</v>
      </c>
      <c r="E180" s="40" t="s">
        <v>3</v>
      </c>
      <c r="H180" s="41" t="s">
        <v>1</v>
      </c>
      <c r="I180" s="2">
        <v>45416</v>
      </c>
      <c r="K180" s="42" t="s">
        <v>3</v>
      </c>
    </row>
    <row r="181" spans="4:11">
      <c r="D181" s="4" t="s">
        <v>10</v>
      </c>
      <c r="E181" s="4">
        <v>419</v>
      </c>
      <c r="H181" s="41" t="s">
        <v>2</v>
      </c>
      <c r="I181" s="41" t="s">
        <v>3</v>
      </c>
      <c r="K181" s="4">
        <v>204</v>
      </c>
    </row>
    <row r="182" spans="4:11">
      <c r="D182" s="3" t="s">
        <v>8</v>
      </c>
      <c r="E182" s="4">
        <v>18</v>
      </c>
      <c r="H182" s="3" t="s">
        <v>8</v>
      </c>
      <c r="I182" s="4">
        <v>578</v>
      </c>
      <c r="K182" s="5">
        <f>SUM(K181:K181)</f>
        <v>204</v>
      </c>
    </row>
    <row r="183" spans="4:11">
      <c r="D183" s="5" t="s">
        <v>4</v>
      </c>
      <c r="E183" s="5">
        <f>SUM(E181:E182)</f>
        <v>437</v>
      </c>
      <c r="H183" s="5" t="s">
        <v>4</v>
      </c>
      <c r="I183" s="5">
        <f>SUM(I182:I182)</f>
        <v>578</v>
      </c>
    </row>
    <row r="184" spans="4:11" ht="15" customHeight="1">
      <c r="K184" s="342"/>
    </row>
    <row r="185" spans="4:11">
      <c r="D185" s="667" t="s">
        <v>0</v>
      </c>
      <c r="E185" s="667"/>
      <c r="H185" s="667" t="s">
        <v>0</v>
      </c>
      <c r="I185" s="667"/>
      <c r="K185" s="2">
        <v>45421</v>
      </c>
    </row>
    <row r="186" spans="4:11">
      <c r="D186" s="43" t="s">
        <v>1</v>
      </c>
      <c r="E186" s="2">
        <v>45419</v>
      </c>
      <c r="H186" s="44" t="s">
        <v>1</v>
      </c>
      <c r="I186" s="2">
        <v>45420</v>
      </c>
      <c r="K186" s="45" t="s">
        <v>3</v>
      </c>
    </row>
    <row r="187" spans="4:11">
      <c r="D187" s="43" t="s">
        <v>2</v>
      </c>
      <c r="E187" s="43" t="s">
        <v>3</v>
      </c>
      <c r="H187" s="44" t="s">
        <v>2</v>
      </c>
      <c r="I187" s="44" t="s">
        <v>3</v>
      </c>
      <c r="K187" s="4">
        <v>400</v>
      </c>
    </row>
    <row r="188" spans="4:11">
      <c r="D188" s="3" t="s">
        <v>83</v>
      </c>
      <c r="E188" s="4">
        <v>190</v>
      </c>
      <c r="H188" s="3" t="s">
        <v>89</v>
      </c>
      <c r="I188" s="4">
        <v>59</v>
      </c>
      <c r="K188" s="4">
        <v>400</v>
      </c>
    </row>
    <row r="189" spans="4:11">
      <c r="D189" s="3" t="s">
        <v>84</v>
      </c>
      <c r="E189" s="4">
        <v>95</v>
      </c>
      <c r="H189" s="5" t="s">
        <v>4</v>
      </c>
      <c r="I189" s="5">
        <f>SUM(I188:I188)</f>
        <v>59</v>
      </c>
      <c r="K189" s="5">
        <f>SUM(K187:K188)</f>
        <v>800</v>
      </c>
    </row>
    <row r="190" spans="4:11">
      <c r="D190" s="3" t="s">
        <v>85</v>
      </c>
      <c r="E190" s="4">
        <v>95</v>
      </c>
    </row>
    <row r="191" spans="4:11" ht="15" customHeight="1">
      <c r="D191" s="3" t="s">
        <v>86</v>
      </c>
      <c r="E191" s="4">
        <v>95</v>
      </c>
      <c r="H191" s="667" t="s">
        <v>0</v>
      </c>
      <c r="I191" s="667"/>
      <c r="K191" s="342"/>
    </row>
    <row r="192" spans="4:11">
      <c r="D192" s="3" t="s">
        <v>87</v>
      </c>
      <c r="E192" s="4">
        <v>97</v>
      </c>
      <c r="H192" s="46" t="s">
        <v>1</v>
      </c>
      <c r="I192" s="2">
        <v>45422</v>
      </c>
      <c r="K192" s="2">
        <v>45423</v>
      </c>
    </row>
    <row r="193" spans="4:11">
      <c r="D193" s="3" t="s">
        <v>88</v>
      </c>
      <c r="E193" s="3">
        <v>90</v>
      </c>
      <c r="H193" s="46" t="s">
        <v>2</v>
      </c>
      <c r="I193" s="46" t="s">
        <v>3</v>
      </c>
      <c r="K193" s="47" t="s">
        <v>3</v>
      </c>
    </row>
    <row r="194" spans="4:11">
      <c r="D194" s="5" t="s">
        <v>4</v>
      </c>
      <c r="E194" s="5">
        <f>SUM(E188:E193)</f>
        <v>662</v>
      </c>
      <c r="H194" s="3" t="s">
        <v>14</v>
      </c>
      <c r="I194" s="4">
        <v>400</v>
      </c>
      <c r="K194" s="4">
        <v>177</v>
      </c>
    </row>
    <row r="195" spans="4:11">
      <c r="H195" s="3" t="s">
        <v>30</v>
      </c>
      <c r="I195" s="4">
        <v>223</v>
      </c>
      <c r="K195" s="4">
        <v>595</v>
      </c>
    </row>
    <row r="196" spans="4:11">
      <c r="D196" s="667" t="s">
        <v>0</v>
      </c>
      <c r="E196" s="667"/>
      <c r="H196" s="5" t="s">
        <v>4</v>
      </c>
      <c r="I196" s="5">
        <f>SUM(I194:I195)</f>
        <v>623</v>
      </c>
      <c r="K196" s="5">
        <f>SUM(K194:K195)</f>
        <v>772</v>
      </c>
    </row>
    <row r="197" spans="4:11">
      <c r="D197" s="48" t="s">
        <v>1</v>
      </c>
      <c r="E197" s="2">
        <v>45425</v>
      </c>
    </row>
    <row r="198" spans="4:11" ht="15" customHeight="1">
      <c r="D198" s="48" t="s">
        <v>2</v>
      </c>
      <c r="E198" s="48" t="s">
        <v>3</v>
      </c>
      <c r="H198" s="667" t="s">
        <v>0</v>
      </c>
      <c r="I198" s="667"/>
      <c r="K198" s="342"/>
    </row>
    <row r="199" spans="4:11">
      <c r="D199" s="3" t="s">
        <v>17</v>
      </c>
      <c r="E199" s="3">
        <v>1255</v>
      </c>
      <c r="H199" s="49" t="s">
        <v>1</v>
      </c>
      <c r="I199" s="2">
        <v>45426</v>
      </c>
      <c r="K199" s="2">
        <v>45427</v>
      </c>
    </row>
    <row r="200" spans="4:11">
      <c r="D200" s="5" t="s">
        <v>4</v>
      </c>
      <c r="E200" s="5">
        <f>SUM(E199:E199)</f>
        <v>1255</v>
      </c>
      <c r="H200" s="49" t="s">
        <v>2</v>
      </c>
      <c r="I200" s="49" t="s">
        <v>3</v>
      </c>
      <c r="K200" s="50" t="s">
        <v>3</v>
      </c>
    </row>
    <row r="201" spans="4:11">
      <c r="H201" s="3" t="s">
        <v>17</v>
      </c>
      <c r="I201" s="3">
        <v>1145</v>
      </c>
      <c r="K201" s="4">
        <v>574</v>
      </c>
    </row>
    <row r="202" spans="4:11">
      <c r="D202" s="667" t="s">
        <v>0</v>
      </c>
      <c r="E202" s="667"/>
      <c r="H202" s="5" t="s">
        <v>4</v>
      </c>
      <c r="I202" s="5">
        <f>SUM(I201:I201)</f>
        <v>1145</v>
      </c>
      <c r="K202" s="4">
        <v>932</v>
      </c>
    </row>
    <row r="203" spans="4:11">
      <c r="D203" s="51" t="s">
        <v>1</v>
      </c>
      <c r="E203" s="2">
        <v>45428</v>
      </c>
      <c r="K203" s="5">
        <f>SUM(K201:K202)</f>
        <v>1506</v>
      </c>
    </row>
    <row r="204" spans="4:11">
      <c r="D204" s="51" t="s">
        <v>2</v>
      </c>
      <c r="E204" s="51" t="s">
        <v>3</v>
      </c>
      <c r="H204" s="667" t="s">
        <v>0</v>
      </c>
      <c r="I204" s="667"/>
    </row>
    <row r="205" spans="4:11" ht="15" customHeight="1">
      <c r="D205" s="4" t="s">
        <v>18</v>
      </c>
      <c r="E205" s="4">
        <v>568</v>
      </c>
      <c r="H205" s="52" t="s">
        <v>1</v>
      </c>
      <c r="I205" s="2">
        <v>45429</v>
      </c>
      <c r="K205" s="342"/>
    </row>
    <row r="206" spans="4:11">
      <c r="D206" s="3" t="s">
        <v>17</v>
      </c>
      <c r="E206" s="3">
        <v>1279</v>
      </c>
      <c r="H206" s="52" t="s">
        <v>2</v>
      </c>
      <c r="I206" s="52" t="s">
        <v>3</v>
      </c>
      <c r="K206" s="2">
        <v>45430</v>
      </c>
    </row>
    <row r="207" spans="4:11">
      <c r="D207" s="5" t="s">
        <v>4</v>
      </c>
      <c r="E207" s="5">
        <f>SUM(E205:E206)</f>
        <v>1847</v>
      </c>
      <c r="H207" s="3" t="s">
        <v>17</v>
      </c>
      <c r="I207" s="4">
        <v>162</v>
      </c>
      <c r="K207" s="53" t="s">
        <v>3</v>
      </c>
    </row>
    <row r="208" spans="4:11">
      <c r="H208" s="3" t="s">
        <v>5</v>
      </c>
      <c r="I208" s="3">
        <v>425</v>
      </c>
      <c r="K208" s="4">
        <v>382</v>
      </c>
    </row>
    <row r="209" spans="4:11">
      <c r="D209" s="667" t="s">
        <v>0</v>
      </c>
      <c r="E209" s="667"/>
      <c r="H209" s="5" t="s">
        <v>4</v>
      </c>
      <c r="I209" s="5">
        <f>SUM(I207:I208)</f>
        <v>587</v>
      </c>
      <c r="K209" s="3">
        <v>87</v>
      </c>
    </row>
    <row r="210" spans="4:11">
      <c r="D210" s="54" t="s">
        <v>1</v>
      </c>
      <c r="E210" s="2">
        <v>45432</v>
      </c>
      <c r="K210" s="5">
        <f>SUM(K208:K209)</f>
        <v>469</v>
      </c>
    </row>
    <row r="211" spans="4:11">
      <c r="D211" s="54" t="s">
        <v>2</v>
      </c>
      <c r="E211" s="54" t="s">
        <v>3</v>
      </c>
      <c r="H211" s="667" t="s">
        <v>0</v>
      </c>
      <c r="I211" s="667"/>
    </row>
    <row r="212" spans="4:11" ht="15" customHeight="1">
      <c r="D212" s="3" t="s">
        <v>21</v>
      </c>
      <c r="E212" s="4">
        <v>400</v>
      </c>
      <c r="H212" s="55" t="s">
        <v>1</v>
      </c>
      <c r="I212" s="2">
        <v>45432</v>
      </c>
      <c r="K212" s="342"/>
    </row>
    <row r="213" spans="4:11">
      <c r="D213" s="3" t="s">
        <v>23</v>
      </c>
      <c r="E213" s="3">
        <v>400</v>
      </c>
      <c r="H213" s="55" t="s">
        <v>2</v>
      </c>
      <c r="I213" s="55" t="s">
        <v>3</v>
      </c>
      <c r="K213" s="2">
        <v>45432</v>
      </c>
    </row>
    <row r="214" spans="4:11">
      <c r="D214" s="5" t="s">
        <v>4</v>
      </c>
      <c r="E214" s="5">
        <f>SUM(E212:E213)</f>
        <v>800</v>
      </c>
      <c r="H214" s="3" t="s">
        <v>89</v>
      </c>
      <c r="I214" s="4">
        <v>61</v>
      </c>
      <c r="K214" s="56" t="s">
        <v>3</v>
      </c>
    </row>
    <row r="215" spans="4:11">
      <c r="H215" s="3" t="s">
        <v>22</v>
      </c>
      <c r="I215" s="4">
        <v>300</v>
      </c>
      <c r="K215" s="4">
        <v>456</v>
      </c>
    </row>
    <row r="216" spans="4:11">
      <c r="D216" s="667" t="s">
        <v>0</v>
      </c>
      <c r="E216" s="667"/>
      <c r="H216" s="3" t="s">
        <v>24</v>
      </c>
      <c r="I216" s="3">
        <v>209</v>
      </c>
      <c r="K216" s="3">
        <v>400</v>
      </c>
    </row>
    <row r="217" spans="4:11">
      <c r="D217" s="57" t="s">
        <v>1</v>
      </c>
      <c r="E217" s="2">
        <v>45435</v>
      </c>
      <c r="H217" s="5" t="s">
        <v>4</v>
      </c>
      <c r="I217" s="5">
        <f>SUM(I214:I216)</f>
        <v>570</v>
      </c>
      <c r="K217" s="5">
        <f>SUM(K215:K216)</f>
        <v>856</v>
      </c>
    </row>
    <row r="218" spans="4:11">
      <c r="D218" s="57" t="s">
        <v>2</v>
      </c>
      <c r="E218" s="57" t="s">
        <v>3</v>
      </c>
    </row>
    <row r="219" spans="4:11" ht="15" customHeight="1">
      <c r="D219" s="3" t="s">
        <v>33</v>
      </c>
      <c r="E219" s="3">
        <v>400</v>
      </c>
      <c r="H219" s="667" t="s">
        <v>0</v>
      </c>
      <c r="I219" s="667"/>
      <c r="K219" s="342"/>
    </row>
    <row r="220" spans="4:11">
      <c r="D220" s="5" t="s">
        <v>4</v>
      </c>
      <c r="E220" s="5">
        <f>SUM(E219:E219)</f>
        <v>400</v>
      </c>
      <c r="H220" s="58" t="s">
        <v>1</v>
      </c>
      <c r="I220" s="2">
        <v>45436</v>
      </c>
      <c r="K220" s="2">
        <v>45437</v>
      </c>
    </row>
    <row r="221" spans="4:11">
      <c r="H221" s="58" t="s">
        <v>2</v>
      </c>
      <c r="I221" s="58" t="s">
        <v>3</v>
      </c>
      <c r="K221" s="59" t="s">
        <v>3</v>
      </c>
    </row>
    <row r="222" spans="4:11">
      <c r="D222" s="667" t="s">
        <v>0</v>
      </c>
      <c r="E222" s="667"/>
      <c r="H222" s="3" t="s">
        <v>10</v>
      </c>
      <c r="I222" s="4">
        <v>400</v>
      </c>
      <c r="K222" s="3">
        <v>400</v>
      </c>
    </row>
    <row r="223" spans="4:11">
      <c r="D223" s="60" t="s">
        <v>1</v>
      </c>
      <c r="E223" s="2">
        <v>45439</v>
      </c>
      <c r="H223" s="3" t="s">
        <v>20</v>
      </c>
      <c r="I223" s="3">
        <v>400</v>
      </c>
      <c r="K223" s="5">
        <f>SUM(K222:K222)</f>
        <v>400</v>
      </c>
    </row>
    <row r="224" spans="4:11">
      <c r="D224" s="60" t="s">
        <v>2</v>
      </c>
      <c r="E224" s="60" t="s">
        <v>3</v>
      </c>
      <c r="H224" s="5" t="s">
        <v>4</v>
      </c>
      <c r="I224" s="5">
        <f>SUM(I222:I223)</f>
        <v>800</v>
      </c>
    </row>
    <row r="225" spans="4:11" ht="15" customHeight="1">
      <c r="D225" s="3" t="s">
        <v>90</v>
      </c>
      <c r="E225" s="4">
        <v>422</v>
      </c>
      <c r="K225" s="342"/>
    </row>
    <row r="226" spans="4:11">
      <c r="D226" s="3" t="s">
        <v>34</v>
      </c>
      <c r="E226" s="4">
        <v>400</v>
      </c>
      <c r="H226" s="667" t="s">
        <v>0</v>
      </c>
      <c r="I226" s="667"/>
      <c r="K226" s="2">
        <v>45441</v>
      </c>
    </row>
    <row r="227" spans="4:11">
      <c r="D227" s="3" t="s">
        <v>38</v>
      </c>
      <c r="E227" s="3">
        <v>11</v>
      </c>
      <c r="H227" s="61" t="s">
        <v>1</v>
      </c>
      <c r="I227" s="2">
        <v>45440</v>
      </c>
      <c r="K227" s="62" t="s">
        <v>3</v>
      </c>
    </row>
    <row r="228" spans="4:11">
      <c r="D228" s="5" t="s">
        <v>4</v>
      </c>
      <c r="E228" s="5">
        <f>SUM(E225:E227)</f>
        <v>833</v>
      </c>
      <c r="H228" s="61" t="s">
        <v>2</v>
      </c>
      <c r="I228" s="61" t="s">
        <v>3</v>
      </c>
      <c r="K228" s="4">
        <v>250</v>
      </c>
    </row>
    <row r="229" spans="4:11">
      <c r="H229" s="3" t="s">
        <v>38</v>
      </c>
      <c r="I229" s="4">
        <v>289</v>
      </c>
      <c r="K229" s="4">
        <v>630</v>
      </c>
    </row>
    <row r="230" spans="4:11">
      <c r="D230" s="667" t="s">
        <v>0</v>
      </c>
      <c r="E230" s="667"/>
      <c r="H230" s="3" t="s">
        <v>35</v>
      </c>
      <c r="I230" s="4">
        <v>95</v>
      </c>
      <c r="K230" s="3">
        <v>252</v>
      </c>
    </row>
    <row r="231" spans="4:11">
      <c r="D231" s="63" t="s">
        <v>1</v>
      </c>
      <c r="E231" s="2">
        <v>45442</v>
      </c>
      <c r="H231" s="3" t="s">
        <v>91</v>
      </c>
      <c r="I231" s="3">
        <v>409</v>
      </c>
      <c r="K231" s="5">
        <f>SUM(K228:K230)</f>
        <v>1132</v>
      </c>
    </row>
    <row r="232" spans="4:11">
      <c r="D232" s="63" t="s">
        <v>2</v>
      </c>
      <c r="E232" s="63" t="s">
        <v>3</v>
      </c>
      <c r="H232" s="5" t="s">
        <v>4</v>
      </c>
      <c r="I232" s="5">
        <f>SUM(I229:I231)</f>
        <v>793</v>
      </c>
    </row>
    <row r="233" spans="4:11" ht="15" customHeight="1">
      <c r="D233" s="3" t="s">
        <v>77</v>
      </c>
      <c r="E233" s="4">
        <v>26</v>
      </c>
      <c r="K233" s="342"/>
    </row>
    <row r="234" spans="4:11">
      <c r="D234" s="3" t="s">
        <v>14</v>
      </c>
      <c r="E234" s="4">
        <v>400</v>
      </c>
      <c r="H234" s="667" t="s">
        <v>0</v>
      </c>
      <c r="I234" s="667"/>
      <c r="K234" s="2">
        <v>45444</v>
      </c>
    </row>
    <row r="235" spans="4:11">
      <c r="D235" s="3" t="s">
        <v>59</v>
      </c>
      <c r="E235" s="3">
        <v>29</v>
      </c>
      <c r="H235" s="64" t="s">
        <v>1</v>
      </c>
      <c r="I235" s="2">
        <v>45443</v>
      </c>
      <c r="K235" s="65" t="s">
        <v>3</v>
      </c>
    </row>
    <row r="236" spans="4:11">
      <c r="D236" s="5" t="s">
        <v>4</v>
      </c>
      <c r="E236" s="5">
        <f>SUM(E233:E235)</f>
        <v>455</v>
      </c>
      <c r="H236" s="64" t="s">
        <v>2</v>
      </c>
      <c r="I236" s="64" t="s">
        <v>3</v>
      </c>
      <c r="K236" s="4">
        <v>183</v>
      </c>
    </row>
    <row r="237" spans="4:11">
      <c r="H237" s="3" t="s">
        <v>59</v>
      </c>
      <c r="I237" s="4">
        <v>188</v>
      </c>
      <c r="K237" s="3">
        <v>700</v>
      </c>
    </row>
    <row r="238" spans="4:11">
      <c r="D238" s="667" t="s">
        <v>0</v>
      </c>
      <c r="E238" s="667"/>
      <c r="H238" s="5" t="s">
        <v>4</v>
      </c>
      <c r="I238" s="5">
        <f>SUM(I237:I237)</f>
        <v>188</v>
      </c>
      <c r="K238" s="5">
        <f>SUM(K236:K237)</f>
        <v>883</v>
      </c>
    </row>
    <row r="239" spans="4:11">
      <c r="D239" s="66" t="s">
        <v>1</v>
      </c>
      <c r="E239" s="2">
        <v>45447</v>
      </c>
    </row>
    <row r="240" spans="4:11" ht="15" customHeight="1">
      <c r="D240" s="66" t="s">
        <v>2</v>
      </c>
      <c r="E240" s="66" t="s">
        <v>3</v>
      </c>
      <c r="H240" s="667" t="s">
        <v>0</v>
      </c>
      <c r="I240" s="667"/>
      <c r="K240" s="342"/>
    </row>
    <row r="241" spans="4:11">
      <c r="D241" s="3" t="s">
        <v>30</v>
      </c>
      <c r="E241" s="4">
        <v>400</v>
      </c>
      <c r="H241" s="67" t="s">
        <v>1</v>
      </c>
      <c r="I241" s="2">
        <v>45448</v>
      </c>
      <c r="K241" s="2">
        <v>45449</v>
      </c>
    </row>
    <row r="242" spans="4:11">
      <c r="D242" s="3" t="s">
        <v>33</v>
      </c>
      <c r="E242" s="3">
        <v>75</v>
      </c>
      <c r="H242" s="67" t="s">
        <v>2</v>
      </c>
      <c r="I242" s="67" t="s">
        <v>3</v>
      </c>
      <c r="K242" s="68" t="s">
        <v>3</v>
      </c>
    </row>
    <row r="243" spans="4:11">
      <c r="D243" s="5" t="s">
        <v>4</v>
      </c>
      <c r="E243" s="5">
        <f>SUM(E241:E242)</f>
        <v>475</v>
      </c>
      <c r="H243" s="3" t="s">
        <v>59</v>
      </c>
      <c r="I243" s="4">
        <v>325</v>
      </c>
      <c r="K243" s="4">
        <v>279</v>
      </c>
    </row>
    <row r="244" spans="4:11">
      <c r="H244" s="3" t="s">
        <v>15</v>
      </c>
      <c r="I244" s="3">
        <v>121</v>
      </c>
      <c r="K244" s="4">
        <v>242</v>
      </c>
    </row>
    <row r="245" spans="4:11">
      <c r="D245" s="667" t="s">
        <v>0</v>
      </c>
      <c r="E245" s="667"/>
      <c r="H245" s="5" t="s">
        <v>4</v>
      </c>
      <c r="I245" s="5">
        <f>SUM(I243:I244)</f>
        <v>446</v>
      </c>
      <c r="K245" s="3">
        <v>31</v>
      </c>
    </row>
    <row r="246" spans="4:11">
      <c r="D246" s="69" t="s">
        <v>1</v>
      </c>
      <c r="E246" s="2">
        <v>45450</v>
      </c>
      <c r="K246" s="5">
        <f>SUM(K243:K245)</f>
        <v>552</v>
      </c>
    </row>
    <row r="247" spans="4:11">
      <c r="D247" s="69" t="s">
        <v>2</v>
      </c>
      <c r="E247" s="69" t="s">
        <v>3</v>
      </c>
      <c r="H247" s="667" t="s">
        <v>0</v>
      </c>
      <c r="I247" s="667"/>
    </row>
    <row r="248" spans="4:11" ht="15" customHeight="1">
      <c r="D248" s="3" t="s">
        <v>20</v>
      </c>
      <c r="E248" s="4">
        <v>360</v>
      </c>
      <c r="H248" s="70" t="s">
        <v>1</v>
      </c>
      <c r="I248" s="2">
        <v>45451</v>
      </c>
      <c r="K248" s="342"/>
    </row>
    <row r="249" spans="4:11">
      <c r="D249" s="3" t="s">
        <v>10</v>
      </c>
      <c r="E249" s="3">
        <v>175</v>
      </c>
      <c r="H249" s="70" t="s">
        <v>2</v>
      </c>
      <c r="I249" s="70" t="s">
        <v>3</v>
      </c>
      <c r="K249" s="2">
        <v>45454</v>
      </c>
    </row>
    <row r="250" spans="4:11">
      <c r="D250" s="5" t="s">
        <v>4</v>
      </c>
      <c r="E250" s="5">
        <f>SUM(E248:E249)</f>
        <v>535</v>
      </c>
      <c r="H250" s="3" t="s">
        <v>10</v>
      </c>
      <c r="I250" s="4">
        <v>209</v>
      </c>
      <c r="K250" s="71" t="s">
        <v>3</v>
      </c>
    </row>
    <row r="251" spans="4:11">
      <c r="H251" s="3" t="s">
        <v>17</v>
      </c>
      <c r="I251" s="3">
        <v>587</v>
      </c>
      <c r="K251" s="4">
        <v>1013</v>
      </c>
    </row>
    <row r="252" spans="4:11">
      <c r="D252" s="667" t="s">
        <v>0</v>
      </c>
      <c r="E252" s="667"/>
      <c r="H252" s="5" t="s">
        <v>4</v>
      </c>
      <c r="I252" s="5">
        <f>SUM(I250:I251)</f>
        <v>796</v>
      </c>
      <c r="K252" s="3">
        <v>1252</v>
      </c>
    </row>
    <row r="253" spans="4:11">
      <c r="D253" s="72" t="s">
        <v>1</v>
      </c>
      <c r="E253" s="2">
        <v>45455</v>
      </c>
      <c r="K253" s="5">
        <f>SUM(K251:K252)</f>
        <v>2265</v>
      </c>
    </row>
    <row r="254" spans="4:11">
      <c r="D254" s="72" t="s">
        <v>2</v>
      </c>
      <c r="E254" s="72" t="s">
        <v>3</v>
      </c>
      <c r="H254" s="667" t="s">
        <v>0</v>
      </c>
      <c r="I254" s="667"/>
    </row>
    <row r="255" spans="4:11" ht="15" customHeight="1">
      <c r="D255" s="3" t="s">
        <v>5</v>
      </c>
      <c r="E255" s="4">
        <v>400</v>
      </c>
      <c r="H255" s="73" t="s">
        <v>1</v>
      </c>
      <c r="I255" s="2">
        <v>45456</v>
      </c>
      <c r="K255" s="342"/>
    </row>
    <row r="256" spans="4:11">
      <c r="D256" s="3" t="s">
        <v>19</v>
      </c>
      <c r="E256" s="3">
        <v>400</v>
      </c>
      <c r="H256" s="73" t="s">
        <v>2</v>
      </c>
      <c r="I256" s="73" t="s">
        <v>3</v>
      </c>
      <c r="K256" s="2">
        <v>45457</v>
      </c>
    </row>
    <row r="257" spans="4:11">
      <c r="D257" s="5" t="s">
        <v>4</v>
      </c>
      <c r="E257" s="5">
        <f>SUM(E255:E256)</f>
        <v>800</v>
      </c>
      <c r="H257" s="3" t="s">
        <v>18</v>
      </c>
      <c r="I257" s="4">
        <v>1100</v>
      </c>
      <c r="K257" s="74" t="s">
        <v>3</v>
      </c>
    </row>
    <row r="258" spans="4:11">
      <c r="H258" s="3" t="s">
        <v>17</v>
      </c>
      <c r="I258" s="3">
        <v>686</v>
      </c>
      <c r="K258" s="4">
        <v>400</v>
      </c>
    </row>
    <row r="259" spans="4:11">
      <c r="D259" s="667" t="s">
        <v>0</v>
      </c>
      <c r="E259" s="667"/>
      <c r="H259" s="5" t="s">
        <v>4</v>
      </c>
      <c r="I259" s="5">
        <f>SUM(I257:I258)</f>
        <v>1786</v>
      </c>
      <c r="K259" s="3">
        <v>74</v>
      </c>
    </row>
    <row r="260" spans="4:11">
      <c r="D260" s="75" t="s">
        <v>1</v>
      </c>
      <c r="E260" s="2">
        <v>45458</v>
      </c>
      <c r="K260" s="5">
        <f>SUM(K258:K259)</f>
        <v>474</v>
      </c>
    </row>
    <row r="261" spans="4:11">
      <c r="D261" s="75" t="s">
        <v>2</v>
      </c>
      <c r="E261" s="75" t="s">
        <v>3</v>
      </c>
      <c r="H261" s="667" t="s">
        <v>0</v>
      </c>
      <c r="I261" s="667"/>
    </row>
    <row r="262" spans="4:11" ht="15" customHeight="1">
      <c r="D262" s="3" t="s">
        <v>92</v>
      </c>
      <c r="E262" s="4">
        <v>1036</v>
      </c>
      <c r="H262" s="76" t="s">
        <v>1</v>
      </c>
      <c r="I262" s="2">
        <v>45460</v>
      </c>
      <c r="K262" s="342"/>
    </row>
    <row r="263" spans="4:11">
      <c r="D263" s="5" t="s">
        <v>4</v>
      </c>
      <c r="E263" s="5">
        <f>SUM(E262:E262)</f>
        <v>1036</v>
      </c>
      <c r="H263" s="76" t="s">
        <v>2</v>
      </c>
      <c r="I263" s="76" t="s">
        <v>3</v>
      </c>
      <c r="K263" s="2">
        <v>45461</v>
      </c>
    </row>
    <row r="264" spans="4:11">
      <c r="H264" s="3" t="s">
        <v>93</v>
      </c>
      <c r="I264" s="4">
        <v>842</v>
      </c>
      <c r="K264" s="77" t="s">
        <v>3</v>
      </c>
    </row>
    <row r="265" spans="4:11">
      <c r="D265" s="667" t="s">
        <v>0</v>
      </c>
      <c r="E265" s="667"/>
      <c r="H265" s="3" t="s">
        <v>8</v>
      </c>
      <c r="I265" s="3">
        <v>326</v>
      </c>
      <c r="K265" s="4">
        <v>200</v>
      </c>
    </row>
    <row r="266" spans="4:11">
      <c r="D266" s="78" t="s">
        <v>1</v>
      </c>
      <c r="E266" s="2">
        <v>45462</v>
      </c>
      <c r="H266" s="5" t="s">
        <v>4</v>
      </c>
      <c r="I266" s="5">
        <f>SUM(I264:I265)</f>
        <v>1168</v>
      </c>
      <c r="K266" s="4">
        <v>385</v>
      </c>
    </row>
    <row r="267" spans="4:11">
      <c r="D267" s="78" t="s">
        <v>2</v>
      </c>
      <c r="E267" s="78" t="s">
        <v>3</v>
      </c>
      <c r="K267" s="3">
        <v>257</v>
      </c>
    </row>
    <row r="268" spans="4:11">
      <c r="D268" s="3" t="s">
        <v>14</v>
      </c>
      <c r="E268" s="4">
        <v>146</v>
      </c>
      <c r="H268" s="667" t="s">
        <v>0</v>
      </c>
      <c r="I268" s="667"/>
      <c r="K268" s="5">
        <f>SUM(K265:K267)</f>
        <v>842</v>
      </c>
    </row>
    <row r="269" spans="4:11">
      <c r="D269" s="3" t="s">
        <v>11</v>
      </c>
      <c r="E269" s="4">
        <v>200</v>
      </c>
      <c r="H269" s="79" t="s">
        <v>1</v>
      </c>
      <c r="I269" s="2">
        <v>45463</v>
      </c>
    </row>
    <row r="270" spans="4:11" ht="15" customHeight="1">
      <c r="D270" s="3" t="s">
        <v>94</v>
      </c>
      <c r="E270" s="3">
        <v>590</v>
      </c>
      <c r="H270" s="79" t="s">
        <v>2</v>
      </c>
      <c r="I270" s="79" t="s">
        <v>3</v>
      </c>
      <c r="K270" s="342"/>
    </row>
    <row r="271" spans="4:11">
      <c r="D271" s="5" t="s">
        <v>4</v>
      </c>
      <c r="E271" s="5">
        <f>SUM(E268:E270)</f>
        <v>936</v>
      </c>
      <c r="H271" s="3" t="s">
        <v>94</v>
      </c>
      <c r="I271" s="4">
        <v>505</v>
      </c>
      <c r="K271" s="2">
        <v>45464</v>
      </c>
    </row>
    <row r="272" spans="4:11">
      <c r="H272" s="3" t="s">
        <v>24</v>
      </c>
      <c r="I272" s="4">
        <v>360</v>
      </c>
      <c r="K272" s="80" t="s">
        <v>3</v>
      </c>
    </row>
    <row r="273" spans="4:11">
      <c r="H273" s="3" t="s">
        <v>95</v>
      </c>
      <c r="I273" s="3">
        <v>360</v>
      </c>
      <c r="K273" s="4">
        <v>245</v>
      </c>
    </row>
    <row r="274" spans="4:11">
      <c r="H274" s="5" t="s">
        <v>4</v>
      </c>
      <c r="I274" s="5">
        <f>SUM(I271:I273)</f>
        <v>1225</v>
      </c>
      <c r="K274" s="4">
        <v>400</v>
      </c>
    </row>
    <row r="275" spans="4:11">
      <c r="K275" s="5" t="b">
        <f>E283=SUM(K273:K274)</f>
        <v>0</v>
      </c>
    </row>
    <row r="276" spans="4:11">
      <c r="H276" s="667" t="s">
        <v>0</v>
      </c>
      <c r="I276" s="667"/>
    </row>
    <row r="277" spans="4:11" ht="15" customHeight="1">
      <c r="D277" s="667" t="s">
        <v>0</v>
      </c>
      <c r="E277" s="667"/>
      <c r="H277" s="82" t="s">
        <v>1</v>
      </c>
      <c r="I277" s="2">
        <v>45468</v>
      </c>
      <c r="K277" s="342"/>
    </row>
    <row r="278" spans="4:11">
      <c r="D278" s="81" t="s">
        <v>1</v>
      </c>
      <c r="E278" s="2">
        <v>45467</v>
      </c>
      <c r="H278" s="82" t="s">
        <v>2</v>
      </c>
      <c r="I278" s="82" t="s">
        <v>3</v>
      </c>
      <c r="K278" s="2">
        <v>45469</v>
      </c>
    </row>
    <row r="279" spans="4:11">
      <c r="D279" s="81" t="s">
        <v>2</v>
      </c>
      <c r="E279" s="81" t="s">
        <v>3</v>
      </c>
      <c r="H279" s="3" t="s">
        <v>99</v>
      </c>
      <c r="I279" s="4">
        <v>373</v>
      </c>
      <c r="K279" s="83" t="s">
        <v>3</v>
      </c>
    </row>
    <row r="280" spans="4:11">
      <c r="D280" s="3" t="s">
        <v>39</v>
      </c>
      <c r="E280" s="4">
        <v>400</v>
      </c>
      <c r="H280" s="3" t="s">
        <v>37</v>
      </c>
      <c r="I280" s="4">
        <v>323</v>
      </c>
      <c r="K280" s="4">
        <v>248</v>
      </c>
    </row>
    <row r="281" spans="4:11">
      <c r="D281" s="3" t="s">
        <v>97</v>
      </c>
      <c r="E281" s="4">
        <v>400</v>
      </c>
      <c r="H281" s="5" t="s">
        <v>4</v>
      </c>
      <c r="I281" s="5">
        <f>SUM(I279:I280)</f>
        <v>696</v>
      </c>
      <c r="K281" s="4">
        <v>31</v>
      </c>
    </row>
    <row r="282" spans="4:11">
      <c r="D282" s="5" t="s">
        <v>98</v>
      </c>
      <c r="E282" s="5">
        <v>350</v>
      </c>
      <c r="K282" s="5">
        <f>SUM(K280:K281)</f>
        <v>279</v>
      </c>
    </row>
    <row r="283" spans="4:11">
      <c r="D283" s="5" t="s">
        <v>4</v>
      </c>
      <c r="E283" s="5">
        <v>1150</v>
      </c>
      <c r="H283" s="667" t="s">
        <v>0</v>
      </c>
      <c r="I283" s="667"/>
    </row>
    <row r="284" spans="4:11" ht="15" customHeight="1">
      <c r="H284" s="85" t="s">
        <v>1</v>
      </c>
      <c r="I284" s="2">
        <v>45471</v>
      </c>
      <c r="K284" s="342"/>
    </row>
    <row r="285" spans="4:11">
      <c r="D285" s="667" t="s">
        <v>0</v>
      </c>
      <c r="E285" s="667"/>
      <c r="H285" s="85" t="s">
        <v>2</v>
      </c>
      <c r="I285" s="85" t="s">
        <v>3</v>
      </c>
      <c r="K285" s="2">
        <v>45474</v>
      </c>
    </row>
    <row r="286" spans="4:11">
      <c r="D286" s="84" t="s">
        <v>1</v>
      </c>
      <c r="E286" s="2">
        <v>45469</v>
      </c>
      <c r="H286" s="3" t="s">
        <v>100</v>
      </c>
      <c r="I286" s="4">
        <v>117</v>
      </c>
      <c r="K286" s="86" t="s">
        <v>3</v>
      </c>
    </row>
    <row r="287" spans="4:11">
      <c r="D287" s="84" t="s">
        <v>2</v>
      </c>
      <c r="E287" s="84" t="s">
        <v>3</v>
      </c>
      <c r="H287" s="3" t="s">
        <v>20</v>
      </c>
      <c r="I287" s="4">
        <v>71</v>
      </c>
      <c r="K287" s="4">
        <v>33</v>
      </c>
    </row>
    <row r="288" spans="4:11">
      <c r="D288" s="3" t="s">
        <v>33</v>
      </c>
      <c r="E288" s="4">
        <v>383</v>
      </c>
      <c r="H288" s="3" t="s">
        <v>30</v>
      </c>
      <c r="I288" s="4">
        <v>71</v>
      </c>
      <c r="K288" s="4">
        <v>70</v>
      </c>
    </row>
    <row r="289" spans="4:11">
      <c r="D289" s="3" t="s">
        <v>10</v>
      </c>
      <c r="E289" s="4">
        <v>513</v>
      </c>
      <c r="H289" s="5" t="s">
        <v>101</v>
      </c>
      <c r="I289" s="5">
        <v>37</v>
      </c>
      <c r="K289" s="5">
        <v>61</v>
      </c>
    </row>
    <row r="290" spans="4:11">
      <c r="D290" s="5" t="s">
        <v>4</v>
      </c>
      <c r="E290" s="5">
        <f>SUM(E288:E289)</f>
        <v>896</v>
      </c>
      <c r="H290" s="5" t="s">
        <v>4</v>
      </c>
      <c r="I290" s="5">
        <f>SUM(I286:I289)</f>
        <v>296</v>
      </c>
      <c r="K290" s="5">
        <f>SUM(K287:K289)</f>
        <v>164</v>
      </c>
    </row>
    <row r="292" spans="4:11" ht="15" customHeight="1">
      <c r="D292" s="667" t="s">
        <v>0</v>
      </c>
      <c r="E292" s="667"/>
      <c r="H292" s="667" t="s">
        <v>0</v>
      </c>
      <c r="I292" s="667"/>
      <c r="K292" s="343"/>
    </row>
    <row r="293" spans="4:11">
      <c r="D293" s="87" t="s">
        <v>1</v>
      </c>
      <c r="E293" s="2">
        <v>45475</v>
      </c>
      <c r="H293" s="88" t="s">
        <v>1</v>
      </c>
      <c r="I293" s="2">
        <v>45476</v>
      </c>
      <c r="K293" s="2">
        <v>45477</v>
      </c>
    </row>
    <row r="294" spans="4:11">
      <c r="D294" s="87" t="s">
        <v>2</v>
      </c>
      <c r="E294" s="87" t="s">
        <v>3</v>
      </c>
      <c r="H294" s="88" t="s">
        <v>2</v>
      </c>
      <c r="I294" s="88" t="s">
        <v>3</v>
      </c>
      <c r="K294" s="89" t="s">
        <v>3</v>
      </c>
    </row>
    <row r="295" spans="4:11">
      <c r="D295" s="3" t="s">
        <v>101</v>
      </c>
      <c r="E295" s="4">
        <v>37</v>
      </c>
      <c r="H295" s="3" t="s">
        <v>33</v>
      </c>
      <c r="I295" s="4">
        <v>189</v>
      </c>
      <c r="K295" s="4">
        <v>386</v>
      </c>
    </row>
    <row r="296" spans="4:11">
      <c r="D296" s="3" t="s">
        <v>100</v>
      </c>
      <c r="E296" s="4">
        <v>86</v>
      </c>
      <c r="H296" s="3" t="s">
        <v>101</v>
      </c>
      <c r="I296" s="4">
        <v>41</v>
      </c>
      <c r="K296" s="4">
        <v>922</v>
      </c>
    </row>
    <row r="297" spans="4:11">
      <c r="D297" s="3" t="s">
        <v>33</v>
      </c>
      <c r="E297" s="4">
        <v>211</v>
      </c>
      <c r="H297" s="3" t="s">
        <v>10</v>
      </c>
      <c r="I297" s="4">
        <v>14</v>
      </c>
      <c r="K297" s="5">
        <f>SUM(K295:K296)</f>
        <v>1308</v>
      </c>
    </row>
    <row r="298" spans="4:11">
      <c r="D298" s="5" t="s">
        <v>4</v>
      </c>
      <c r="E298" s="5">
        <f>SUM(E295:E297)</f>
        <v>334</v>
      </c>
      <c r="H298" s="5" t="s">
        <v>4</v>
      </c>
      <c r="I298" s="5">
        <f>SUM(I295:I297)</f>
        <v>244</v>
      </c>
    </row>
    <row r="299" spans="4:11" ht="15" customHeight="1">
      <c r="K299" s="342"/>
    </row>
    <row r="300" spans="4:11">
      <c r="D300" s="669" t="s">
        <v>0</v>
      </c>
      <c r="E300" s="670"/>
      <c r="H300" s="667" t="s">
        <v>0</v>
      </c>
      <c r="I300" s="667"/>
      <c r="K300" s="2">
        <v>45482</v>
      </c>
    </row>
    <row r="301" spans="4:11">
      <c r="D301" s="89" t="s">
        <v>1</v>
      </c>
      <c r="E301" s="2">
        <v>45448</v>
      </c>
      <c r="H301" s="90" t="s">
        <v>1</v>
      </c>
      <c r="I301" s="2">
        <v>45481</v>
      </c>
      <c r="K301" s="91" t="s">
        <v>3</v>
      </c>
    </row>
    <row r="302" spans="4:11">
      <c r="D302" s="89" t="s">
        <v>2</v>
      </c>
      <c r="E302" s="89" t="s">
        <v>3</v>
      </c>
      <c r="H302" s="90" t="s">
        <v>2</v>
      </c>
      <c r="I302" s="90" t="s">
        <v>3</v>
      </c>
      <c r="K302" s="4">
        <v>460</v>
      </c>
    </row>
    <row r="303" spans="4:11">
      <c r="D303" s="3" t="s">
        <v>17</v>
      </c>
      <c r="E303" s="4">
        <v>244</v>
      </c>
      <c r="H303" s="3" t="s">
        <v>105</v>
      </c>
      <c r="I303" s="4">
        <v>233</v>
      </c>
      <c r="K303" s="4">
        <v>484</v>
      </c>
    </row>
    <row r="304" spans="4:11">
      <c r="D304" s="3" t="s">
        <v>18</v>
      </c>
      <c r="E304" s="4">
        <v>1280</v>
      </c>
      <c r="H304" s="3" t="s">
        <v>106</v>
      </c>
      <c r="I304" s="4">
        <v>350</v>
      </c>
      <c r="K304" s="4">
        <v>624</v>
      </c>
    </row>
    <row r="305" spans="4:11">
      <c r="D305" s="5" t="s">
        <v>4</v>
      </c>
      <c r="E305" s="5">
        <f>SUM(E303:E304)</f>
        <v>1524</v>
      </c>
      <c r="H305" s="3" t="s">
        <v>108</v>
      </c>
      <c r="I305" s="4">
        <v>15</v>
      </c>
      <c r="K305" s="5">
        <f>SUM(K302:K304)</f>
        <v>1568</v>
      </c>
    </row>
    <row r="306" spans="4:11">
      <c r="H306" s="3" t="s">
        <v>107</v>
      </c>
      <c r="I306" s="4">
        <v>167</v>
      </c>
    </row>
    <row r="307" spans="4:11" ht="15" customHeight="1">
      <c r="D307" s="667" t="s">
        <v>0</v>
      </c>
      <c r="E307" s="667"/>
      <c r="H307" s="3" t="s">
        <v>102</v>
      </c>
      <c r="I307" s="4">
        <v>366</v>
      </c>
      <c r="K307" s="342"/>
    </row>
    <row r="308" spans="4:11">
      <c r="D308" s="92" t="s">
        <v>1</v>
      </c>
      <c r="E308" s="2">
        <v>45483</v>
      </c>
      <c r="H308" s="3" t="s">
        <v>104</v>
      </c>
      <c r="I308" s="4">
        <v>88</v>
      </c>
      <c r="K308" s="2">
        <v>45484</v>
      </c>
    </row>
    <row r="309" spans="4:11">
      <c r="D309" s="92" t="s">
        <v>2</v>
      </c>
      <c r="E309" s="92" t="s">
        <v>3</v>
      </c>
      <c r="H309" s="5" t="s">
        <v>4</v>
      </c>
      <c r="I309" s="5">
        <f>SUM(I303:I308)</f>
        <v>1219</v>
      </c>
      <c r="K309" s="93" t="s">
        <v>3</v>
      </c>
    </row>
    <row r="310" spans="4:11">
      <c r="D310" s="3" t="s">
        <v>27</v>
      </c>
      <c r="E310" s="4">
        <v>76</v>
      </c>
      <c r="K310" s="4">
        <v>226</v>
      </c>
    </row>
    <row r="311" spans="4:11">
      <c r="D311" s="3" t="s">
        <v>19</v>
      </c>
      <c r="E311" s="4">
        <v>400</v>
      </c>
      <c r="H311" s="669" t="s">
        <v>0</v>
      </c>
      <c r="I311" s="670"/>
      <c r="K311" s="4">
        <v>230</v>
      </c>
    </row>
    <row r="312" spans="4:11">
      <c r="D312" s="3" t="s">
        <v>30</v>
      </c>
      <c r="E312" s="4">
        <v>174</v>
      </c>
      <c r="H312" s="95" t="s">
        <v>1</v>
      </c>
      <c r="I312" s="2">
        <v>45488</v>
      </c>
      <c r="K312" s="4">
        <v>315</v>
      </c>
    </row>
    <row r="313" spans="4:11">
      <c r="D313" s="5" t="s">
        <v>4</v>
      </c>
      <c r="E313" s="5">
        <f>SUM(E310:E312)</f>
        <v>650</v>
      </c>
      <c r="H313" s="95" t="s">
        <v>2</v>
      </c>
      <c r="I313" s="95" t="s">
        <v>3</v>
      </c>
      <c r="K313" s="5">
        <f>SUM(K310:K312)</f>
        <v>771</v>
      </c>
    </row>
    <row r="314" spans="4:11">
      <c r="H314" s="3" t="s">
        <v>26</v>
      </c>
      <c r="I314" s="4">
        <v>398</v>
      </c>
    </row>
    <row r="315" spans="4:11" ht="15" customHeight="1">
      <c r="D315" s="667" t="s">
        <v>0</v>
      </c>
      <c r="E315" s="667"/>
      <c r="H315" s="3" t="s">
        <v>20</v>
      </c>
      <c r="I315" s="4">
        <v>118</v>
      </c>
      <c r="K315" s="342"/>
    </row>
    <row r="316" spans="4:11">
      <c r="D316" s="94" t="s">
        <v>1</v>
      </c>
      <c r="E316" s="2">
        <v>45485</v>
      </c>
      <c r="H316" s="5" t="s">
        <v>4</v>
      </c>
      <c r="I316" s="5">
        <f>SUM(I314:I315)</f>
        <v>516</v>
      </c>
      <c r="K316" s="2">
        <v>45490</v>
      </c>
    </row>
    <row r="317" spans="4:11">
      <c r="D317" s="94" t="s">
        <v>2</v>
      </c>
      <c r="E317" s="94" t="s">
        <v>3</v>
      </c>
      <c r="K317" s="97" t="s">
        <v>3</v>
      </c>
    </row>
    <row r="318" spans="4:11">
      <c r="D318" s="3" t="s">
        <v>11</v>
      </c>
      <c r="E318" s="4">
        <v>85</v>
      </c>
      <c r="H318" s="667" t="s">
        <v>0</v>
      </c>
      <c r="I318" s="667"/>
      <c r="K318" s="4">
        <v>24</v>
      </c>
    </row>
    <row r="319" spans="4:11">
      <c r="D319" s="3" t="s">
        <v>100</v>
      </c>
      <c r="E319" s="4">
        <v>40</v>
      </c>
      <c r="H319" s="96" t="s">
        <v>1</v>
      </c>
      <c r="I319" s="2">
        <v>45489</v>
      </c>
      <c r="K319" s="4">
        <v>120</v>
      </c>
    </row>
    <row r="320" spans="4:11">
      <c r="D320" s="3" t="s">
        <v>15</v>
      </c>
      <c r="E320" s="4">
        <v>400</v>
      </c>
      <c r="H320" s="96" t="s">
        <v>2</v>
      </c>
      <c r="I320" s="96" t="s">
        <v>3</v>
      </c>
      <c r="K320" s="4">
        <v>14</v>
      </c>
    </row>
    <row r="321" spans="4:11">
      <c r="D321" s="3" t="s">
        <v>103</v>
      </c>
      <c r="E321" s="4">
        <v>73</v>
      </c>
      <c r="H321" s="3" t="s">
        <v>109</v>
      </c>
      <c r="I321" s="4">
        <v>599</v>
      </c>
      <c r="K321" s="5">
        <f>SUM(K318:K320)</f>
        <v>158</v>
      </c>
    </row>
    <row r="322" spans="4:11">
      <c r="D322" s="5" t="s">
        <v>4</v>
      </c>
      <c r="E322" s="5">
        <f>SUM(E318:E321)</f>
        <v>598</v>
      </c>
      <c r="H322" s="3" t="s">
        <v>110</v>
      </c>
      <c r="I322" s="4">
        <v>136</v>
      </c>
    </row>
    <row r="323" spans="4:11" ht="15" customHeight="1">
      <c r="H323" s="5" t="s">
        <v>4</v>
      </c>
      <c r="I323" s="5">
        <f>SUM(I321:I322)</f>
        <v>735</v>
      </c>
      <c r="K323" s="342"/>
    </row>
    <row r="324" spans="4:11">
      <c r="D324" s="667" t="s">
        <v>0</v>
      </c>
      <c r="E324" s="667"/>
      <c r="K324" s="2">
        <v>45498</v>
      </c>
    </row>
    <row r="325" spans="4:11">
      <c r="D325" s="98" t="s">
        <v>1</v>
      </c>
      <c r="E325" s="2">
        <v>45495</v>
      </c>
      <c r="H325" s="667" t="s">
        <v>0</v>
      </c>
      <c r="I325" s="667"/>
      <c r="K325" s="100" t="s">
        <v>3</v>
      </c>
    </row>
    <row r="326" spans="4:11">
      <c r="D326" s="98" t="s">
        <v>2</v>
      </c>
      <c r="E326" s="98" t="s">
        <v>3</v>
      </c>
      <c r="H326" s="99" t="s">
        <v>1</v>
      </c>
      <c r="I326" s="2">
        <v>45496</v>
      </c>
      <c r="K326" s="4">
        <v>299</v>
      </c>
    </row>
    <row r="327" spans="4:11">
      <c r="D327" s="3" t="s">
        <v>8</v>
      </c>
      <c r="E327" s="4">
        <v>400</v>
      </c>
      <c r="H327" s="99" t="s">
        <v>2</v>
      </c>
      <c r="I327" s="99" t="s">
        <v>3</v>
      </c>
      <c r="K327" s="4">
        <v>1125</v>
      </c>
    </row>
    <row r="328" spans="4:11">
      <c r="D328" s="3" t="s">
        <v>111</v>
      </c>
      <c r="E328" s="4">
        <v>105</v>
      </c>
      <c r="H328" s="3" t="s">
        <v>114</v>
      </c>
      <c r="I328" s="4">
        <v>92</v>
      </c>
      <c r="K328" s="5">
        <f>SUM(K326:K327)</f>
        <v>1424</v>
      </c>
    </row>
    <row r="329" spans="4:11">
      <c r="D329" s="3" t="s">
        <v>112</v>
      </c>
      <c r="E329" s="4">
        <v>30</v>
      </c>
      <c r="H329" s="3" t="s">
        <v>115</v>
      </c>
      <c r="I329" s="4">
        <v>52</v>
      </c>
    </row>
    <row r="330" spans="4:11" ht="15" customHeight="1">
      <c r="D330" s="3" t="s">
        <v>113</v>
      </c>
      <c r="E330" s="4">
        <v>13</v>
      </c>
      <c r="H330" s="3" t="s">
        <v>116</v>
      </c>
      <c r="I330" s="4">
        <v>430</v>
      </c>
      <c r="K330" s="342"/>
    </row>
    <row r="331" spans="4:11">
      <c r="D331" s="5" t="s">
        <v>4</v>
      </c>
      <c r="E331" s="5">
        <f>SUM(E327:E330)</f>
        <v>548</v>
      </c>
      <c r="H331" s="5" t="s">
        <v>4</v>
      </c>
      <c r="I331" s="5">
        <f>SUM(I328:I330)</f>
        <v>574</v>
      </c>
      <c r="K331" s="2">
        <v>45491</v>
      </c>
    </row>
    <row r="332" spans="4:11">
      <c r="K332" s="103" t="s">
        <v>3</v>
      </c>
    </row>
    <row r="333" spans="4:11">
      <c r="D333" s="667" t="s">
        <v>0</v>
      </c>
      <c r="E333" s="667"/>
      <c r="H333" s="667" t="s">
        <v>0</v>
      </c>
      <c r="I333" s="667"/>
      <c r="K333" s="4">
        <v>106</v>
      </c>
    </row>
    <row r="334" spans="4:11">
      <c r="D334" s="101" t="s">
        <v>1</v>
      </c>
      <c r="E334" s="2">
        <v>45499</v>
      </c>
      <c r="H334" s="102" t="s">
        <v>1</v>
      </c>
      <c r="I334" s="2">
        <v>45502</v>
      </c>
      <c r="K334" s="4">
        <v>87</v>
      </c>
    </row>
    <row r="335" spans="4:11">
      <c r="D335" s="101" t="s">
        <v>2</v>
      </c>
      <c r="E335" s="101" t="s">
        <v>3</v>
      </c>
      <c r="H335" s="102" t="s">
        <v>2</v>
      </c>
      <c r="I335" s="102" t="s">
        <v>3</v>
      </c>
      <c r="K335" s="5">
        <f>SUM(K333:K334)</f>
        <v>193</v>
      </c>
    </row>
    <row r="336" spans="4:11">
      <c r="D336" s="3" t="s">
        <v>117</v>
      </c>
      <c r="E336" s="4">
        <v>146</v>
      </c>
      <c r="H336" s="3" t="s">
        <v>9</v>
      </c>
      <c r="I336" s="4">
        <v>353</v>
      </c>
    </row>
    <row r="337" spans="4:11" ht="15" customHeight="1">
      <c r="D337" s="3" t="s">
        <v>9</v>
      </c>
      <c r="E337" s="4">
        <v>981</v>
      </c>
      <c r="H337" s="3" t="s">
        <v>17</v>
      </c>
      <c r="I337" s="4">
        <v>802</v>
      </c>
      <c r="K337" s="342"/>
    </row>
    <row r="338" spans="4:11">
      <c r="D338" s="5" t="s">
        <v>4</v>
      </c>
      <c r="E338" s="5">
        <f>SUM(E336:E337)</f>
        <v>1127</v>
      </c>
      <c r="H338" s="5" t="s">
        <v>4</v>
      </c>
      <c r="I338" s="5">
        <f>SUM(I336:I337)</f>
        <v>1155</v>
      </c>
      <c r="K338" s="2">
        <v>45505</v>
      </c>
    </row>
    <row r="339" spans="4:11">
      <c r="K339" s="106" t="s">
        <v>3</v>
      </c>
    </row>
    <row r="340" spans="4:11">
      <c r="D340" s="667" t="s">
        <v>0</v>
      </c>
      <c r="E340" s="667"/>
      <c r="H340" s="667" t="s">
        <v>0</v>
      </c>
      <c r="I340" s="667"/>
      <c r="K340" s="4">
        <v>198</v>
      </c>
    </row>
    <row r="341" spans="4:11">
      <c r="D341" s="104" t="s">
        <v>1</v>
      </c>
      <c r="E341" s="2">
        <v>45503</v>
      </c>
      <c r="H341" s="105" t="s">
        <v>1</v>
      </c>
      <c r="I341" s="2">
        <v>45504</v>
      </c>
      <c r="K341" s="4">
        <v>523</v>
      </c>
    </row>
    <row r="342" spans="4:11">
      <c r="D342" s="104" t="s">
        <v>2</v>
      </c>
      <c r="E342" s="104" t="s">
        <v>3</v>
      </c>
      <c r="H342" s="105" t="s">
        <v>2</v>
      </c>
      <c r="I342" s="105" t="s">
        <v>3</v>
      </c>
      <c r="K342" s="5">
        <f>SUM(K340:K341)</f>
        <v>721</v>
      </c>
    </row>
    <row r="343" spans="4:11">
      <c r="D343" s="3" t="s">
        <v>17</v>
      </c>
      <c r="E343" s="4">
        <v>144</v>
      </c>
      <c r="H343" s="3" t="s">
        <v>34</v>
      </c>
      <c r="I343" s="4">
        <f>133-12</f>
        <v>121</v>
      </c>
    </row>
    <row r="344" spans="4:11" ht="15" customHeight="1">
      <c r="D344" s="3" t="s">
        <v>18</v>
      </c>
      <c r="E344" s="4">
        <v>430</v>
      </c>
      <c r="H344" s="3" t="s">
        <v>37</v>
      </c>
      <c r="I344" s="4">
        <v>133</v>
      </c>
      <c r="K344" s="342"/>
    </row>
    <row r="345" spans="4:11">
      <c r="D345" s="3" t="s">
        <v>34</v>
      </c>
      <c r="E345" s="4">
        <v>12</v>
      </c>
      <c r="H345" s="3" t="s">
        <v>39</v>
      </c>
      <c r="I345" s="4">
        <v>133</v>
      </c>
      <c r="K345" s="2">
        <v>45506</v>
      </c>
    </row>
    <row r="346" spans="4:11">
      <c r="D346" s="5" t="s">
        <v>4</v>
      </c>
      <c r="E346" s="5">
        <f>SUM(E343:E345)</f>
        <v>586</v>
      </c>
      <c r="H346" s="3" t="s">
        <v>41</v>
      </c>
      <c r="I346" s="4">
        <v>133</v>
      </c>
      <c r="K346" s="107" t="s">
        <v>3</v>
      </c>
    </row>
    <row r="347" spans="4:11">
      <c r="H347" s="5" t="s">
        <v>4</v>
      </c>
      <c r="I347" s="5">
        <f>SUM(I343:I346)</f>
        <v>520</v>
      </c>
      <c r="K347" s="4">
        <v>766</v>
      </c>
    </row>
    <row r="348" spans="4:11">
      <c r="D348" s="667" t="s">
        <v>0</v>
      </c>
      <c r="E348" s="667"/>
      <c r="K348" s="5">
        <f>SUM(K347:K347)</f>
        <v>766</v>
      </c>
    </row>
    <row r="349" spans="4:11">
      <c r="D349" s="108" t="s">
        <v>1</v>
      </c>
      <c r="E349" s="2">
        <v>45512</v>
      </c>
      <c r="H349" s="667" t="s">
        <v>0</v>
      </c>
      <c r="I349" s="667"/>
    </row>
    <row r="350" spans="4:11" ht="15" customHeight="1">
      <c r="D350" s="108" t="s">
        <v>2</v>
      </c>
      <c r="E350" s="108" t="s">
        <v>3</v>
      </c>
      <c r="H350" s="109" t="s">
        <v>1</v>
      </c>
      <c r="I350" s="2">
        <v>45513</v>
      </c>
      <c r="K350" s="342"/>
    </row>
    <row r="351" spans="4:11">
      <c r="D351" s="3" t="s">
        <v>5</v>
      </c>
      <c r="E351" s="4">
        <v>416</v>
      </c>
      <c r="H351" s="109" t="s">
        <v>2</v>
      </c>
      <c r="I351" s="109" t="s">
        <v>3</v>
      </c>
      <c r="K351" s="2">
        <v>45516</v>
      </c>
    </row>
    <row r="352" spans="4:11">
      <c r="D352" s="5" t="s">
        <v>4</v>
      </c>
      <c r="E352" s="5">
        <f>SUM(E351:E351)</f>
        <v>416</v>
      </c>
      <c r="H352" s="3" t="s">
        <v>6</v>
      </c>
      <c r="I352" s="4">
        <v>400</v>
      </c>
      <c r="K352" s="110" t="s">
        <v>3</v>
      </c>
    </row>
    <row r="353" spans="4:11">
      <c r="H353" s="3" t="s">
        <v>119</v>
      </c>
      <c r="I353" s="4">
        <v>831</v>
      </c>
      <c r="K353" s="4">
        <v>814</v>
      </c>
    </row>
    <row r="354" spans="4:11">
      <c r="D354" s="667" t="s">
        <v>0</v>
      </c>
      <c r="E354" s="667"/>
      <c r="H354" s="5" t="s">
        <v>4</v>
      </c>
      <c r="I354" s="5">
        <f>SUM(I352:I353)</f>
        <v>1231</v>
      </c>
      <c r="K354" s="4">
        <v>103</v>
      </c>
    </row>
    <row r="355" spans="4:11">
      <c r="D355" s="111" t="s">
        <v>1</v>
      </c>
      <c r="E355" s="2">
        <v>45517</v>
      </c>
      <c r="K355" s="5">
        <f>SUM(K353:K354)</f>
        <v>917</v>
      </c>
    </row>
    <row r="356" spans="4:11">
      <c r="D356" s="111" t="s">
        <v>2</v>
      </c>
      <c r="E356" s="111" t="s">
        <v>3</v>
      </c>
      <c r="H356" s="667" t="s">
        <v>0</v>
      </c>
      <c r="I356" s="667"/>
    </row>
    <row r="357" spans="4:11" ht="15" customHeight="1">
      <c r="D357" s="3" t="s">
        <v>93</v>
      </c>
      <c r="E357" s="4">
        <v>609</v>
      </c>
      <c r="H357" s="112" t="s">
        <v>1</v>
      </c>
      <c r="I357" s="2">
        <v>45518</v>
      </c>
      <c r="K357" s="342"/>
    </row>
    <row r="358" spans="4:11">
      <c r="D358" s="3" t="s">
        <v>17</v>
      </c>
      <c r="E358" s="4">
        <v>630</v>
      </c>
      <c r="H358" s="112" t="s">
        <v>2</v>
      </c>
      <c r="I358" s="112" t="s">
        <v>3</v>
      </c>
      <c r="K358" s="2">
        <v>45519</v>
      </c>
    </row>
    <row r="359" spans="4:11">
      <c r="D359" s="5" t="s">
        <v>4</v>
      </c>
      <c r="E359" s="5">
        <f>SUM(E357:E358)</f>
        <v>1239</v>
      </c>
      <c r="H359" s="3" t="s">
        <v>17</v>
      </c>
      <c r="I359" s="4">
        <v>535</v>
      </c>
      <c r="K359" s="113" t="s">
        <v>3</v>
      </c>
    </row>
    <row r="360" spans="4:11">
      <c r="H360" s="3" t="s">
        <v>10</v>
      </c>
      <c r="I360" s="4">
        <v>400</v>
      </c>
      <c r="K360" s="4">
        <v>400</v>
      </c>
    </row>
    <row r="361" spans="4:11">
      <c r="D361" s="667" t="s">
        <v>0</v>
      </c>
      <c r="E361" s="667"/>
      <c r="H361" s="5" t="s">
        <v>4</v>
      </c>
      <c r="I361" s="5">
        <f>SUM(I359:I360)</f>
        <v>935</v>
      </c>
      <c r="K361" s="4">
        <v>140</v>
      </c>
    </row>
    <row r="362" spans="4:11">
      <c r="D362" s="114" t="s">
        <v>1</v>
      </c>
      <c r="E362" s="2">
        <v>45520</v>
      </c>
      <c r="K362" s="5">
        <f>SUM(K360:K361)</f>
        <v>540</v>
      </c>
    </row>
    <row r="363" spans="4:11">
      <c r="D363" s="114" t="s">
        <v>2</v>
      </c>
      <c r="E363" s="114" t="s">
        <v>3</v>
      </c>
      <c r="H363" s="667" t="s">
        <v>0</v>
      </c>
      <c r="I363" s="667"/>
    </row>
    <row r="364" spans="4:11" ht="15" customHeight="1">
      <c r="D364" s="3" t="s">
        <v>19</v>
      </c>
      <c r="E364" s="4">
        <v>260</v>
      </c>
      <c r="H364" s="115" t="s">
        <v>1</v>
      </c>
      <c r="I364" s="2" t="s">
        <v>120</v>
      </c>
      <c r="K364" s="342"/>
    </row>
    <row r="365" spans="4:11">
      <c r="D365" s="3" t="s">
        <v>15</v>
      </c>
      <c r="E365" s="4">
        <v>140</v>
      </c>
      <c r="H365" s="115" t="s">
        <v>2</v>
      </c>
      <c r="I365" s="115" t="s">
        <v>3</v>
      </c>
      <c r="K365" s="2">
        <v>45530</v>
      </c>
    </row>
    <row r="366" spans="4:11">
      <c r="D366" s="3" t="s">
        <v>16</v>
      </c>
      <c r="E366" s="4">
        <v>70</v>
      </c>
      <c r="H366" s="3" t="s">
        <v>16</v>
      </c>
      <c r="I366" s="4">
        <v>70</v>
      </c>
      <c r="K366" s="120" t="s">
        <v>3</v>
      </c>
    </row>
    <row r="367" spans="4:11">
      <c r="D367" s="5" t="s">
        <v>4</v>
      </c>
      <c r="E367" s="5" t="s">
        <v>45</v>
      </c>
      <c r="H367" s="3" t="s">
        <v>30</v>
      </c>
      <c r="I367" s="4">
        <v>400</v>
      </c>
      <c r="K367" s="4">
        <v>105</v>
      </c>
    </row>
    <row r="368" spans="4:11">
      <c r="H368" s="5" t="s">
        <v>4</v>
      </c>
      <c r="I368" s="5">
        <f>SUM(I366:I367)</f>
        <v>470</v>
      </c>
      <c r="K368" s="4">
        <v>1540</v>
      </c>
    </row>
    <row r="369" spans="4:11">
      <c r="D369" s="667" t="s">
        <v>0</v>
      </c>
      <c r="E369" s="667"/>
      <c r="K369" s="5">
        <f>SUM(K367:K368)</f>
        <v>1645</v>
      </c>
    </row>
    <row r="370" spans="4:11">
      <c r="D370" s="116" t="s">
        <v>1</v>
      </c>
      <c r="E370" s="2">
        <v>45525</v>
      </c>
      <c r="H370" s="667" t="s">
        <v>0</v>
      </c>
      <c r="I370" s="667"/>
    </row>
    <row r="371" spans="4:11" ht="15" customHeight="1">
      <c r="D371" s="116" t="s">
        <v>2</v>
      </c>
      <c r="E371" s="116" t="s">
        <v>3</v>
      </c>
      <c r="H371" s="117" t="s">
        <v>1</v>
      </c>
      <c r="I371" s="2">
        <v>45526</v>
      </c>
      <c r="K371" s="342"/>
    </row>
    <row r="372" spans="4:11">
      <c r="D372" s="3" t="s">
        <v>30</v>
      </c>
      <c r="E372" s="4">
        <v>160</v>
      </c>
      <c r="H372" s="117" t="s">
        <v>2</v>
      </c>
      <c r="I372" s="117" t="s">
        <v>3</v>
      </c>
      <c r="K372" s="2">
        <v>45531</v>
      </c>
    </row>
    <row r="373" spans="4:11">
      <c r="D373" s="3" t="s">
        <v>20</v>
      </c>
      <c r="E373" s="4">
        <v>216</v>
      </c>
      <c r="H373" s="3" t="s">
        <v>32</v>
      </c>
      <c r="I373" s="4">
        <v>779</v>
      </c>
      <c r="K373" s="121" t="s">
        <v>3</v>
      </c>
    </row>
    <row r="374" spans="4:11">
      <c r="D374" s="5" t="s">
        <v>4</v>
      </c>
      <c r="E374" s="5">
        <f>SUM(E372:E373)</f>
        <v>376</v>
      </c>
      <c r="H374" s="5" t="s">
        <v>4</v>
      </c>
      <c r="I374" s="5">
        <f>SUM(I373:I373)</f>
        <v>779</v>
      </c>
      <c r="K374" s="4">
        <v>415</v>
      </c>
    </row>
    <row r="375" spans="4:11">
      <c r="K375" s="4">
        <v>233</v>
      </c>
    </row>
    <row r="376" spans="4:11">
      <c r="D376" s="667" t="s">
        <v>0</v>
      </c>
      <c r="E376" s="667"/>
      <c r="H376" s="667" t="s">
        <v>0</v>
      </c>
      <c r="I376" s="667"/>
      <c r="K376" s="4">
        <v>233</v>
      </c>
    </row>
    <row r="377" spans="4:11">
      <c r="D377" s="118" t="s">
        <v>1</v>
      </c>
      <c r="E377" s="2">
        <v>45527</v>
      </c>
      <c r="H377" s="119" t="s">
        <v>1</v>
      </c>
      <c r="I377" s="2">
        <v>45528</v>
      </c>
      <c r="K377" s="5">
        <f>SUM(K374:K376)</f>
        <v>881</v>
      </c>
    </row>
    <row r="378" spans="4:11">
      <c r="D378" s="118" t="s">
        <v>2</v>
      </c>
      <c r="E378" s="118" t="s">
        <v>3</v>
      </c>
      <c r="H378" s="119" t="s">
        <v>2</v>
      </c>
      <c r="I378" s="119" t="s">
        <v>3</v>
      </c>
    </row>
    <row r="379" spans="4:11">
      <c r="D379" s="3" t="s">
        <v>95</v>
      </c>
      <c r="E379" s="4">
        <v>400</v>
      </c>
      <c r="H379" s="3" t="s">
        <v>22</v>
      </c>
      <c r="I379" s="4">
        <v>288</v>
      </c>
    </row>
    <row r="380" spans="4:11">
      <c r="D380" s="3" t="s">
        <v>96</v>
      </c>
      <c r="E380" s="4">
        <v>400</v>
      </c>
      <c r="H380" s="3" t="s">
        <v>24</v>
      </c>
      <c r="I380" s="4">
        <v>226</v>
      </c>
    </row>
    <row r="381" spans="4:11">
      <c r="D381" s="3" t="s">
        <v>22</v>
      </c>
      <c r="E381" s="4">
        <v>112</v>
      </c>
      <c r="H381" s="5" t="s">
        <v>4</v>
      </c>
      <c r="I381" s="5">
        <f>SUM(I379:I380)</f>
        <v>514</v>
      </c>
    </row>
    <row r="382" spans="4:11">
      <c r="D382" s="5" t="s">
        <v>4</v>
      </c>
      <c r="E382" s="5">
        <f>SUM(E379:E381)</f>
        <v>912</v>
      </c>
    </row>
    <row r="383" spans="4:11">
      <c r="H383" s="667" t="s">
        <v>0</v>
      </c>
      <c r="I383" s="667"/>
    </row>
    <row r="384" spans="4:11">
      <c r="D384" s="667" t="s">
        <v>0</v>
      </c>
      <c r="E384" s="667"/>
      <c r="H384" s="123" t="s">
        <v>1</v>
      </c>
      <c r="I384" s="2">
        <v>45533</v>
      </c>
    </row>
    <row r="385" spans="4:12">
      <c r="D385" s="122" t="s">
        <v>1</v>
      </c>
      <c r="E385" s="2">
        <v>45532</v>
      </c>
      <c r="H385" s="123" t="s">
        <v>2</v>
      </c>
      <c r="I385" s="123" t="s">
        <v>3</v>
      </c>
    </row>
    <row r="386" spans="4:12">
      <c r="D386" s="122" t="s">
        <v>2</v>
      </c>
      <c r="E386" s="122" t="s">
        <v>3</v>
      </c>
      <c r="H386" s="3" t="s">
        <v>125</v>
      </c>
      <c r="I386" s="4">
        <v>400</v>
      </c>
    </row>
    <row r="387" spans="4:12" ht="15" customHeight="1">
      <c r="D387" s="3" t="s">
        <v>124</v>
      </c>
      <c r="E387" s="4">
        <v>238</v>
      </c>
      <c r="H387" s="3" t="s">
        <v>15</v>
      </c>
      <c r="I387" s="4">
        <v>324</v>
      </c>
      <c r="K387" s="676"/>
      <c r="L387" s="676"/>
    </row>
    <row r="388" spans="4:12">
      <c r="D388" s="3" t="s">
        <v>8</v>
      </c>
      <c r="E388" s="4">
        <v>399</v>
      </c>
      <c r="H388" s="5" t="s">
        <v>4</v>
      </c>
      <c r="I388" s="5">
        <f>SUM(I386:I387)</f>
        <v>724</v>
      </c>
      <c r="K388" s="675"/>
      <c r="L388" s="675"/>
    </row>
    <row r="389" spans="4:12">
      <c r="D389" s="5" t="s">
        <v>4</v>
      </c>
      <c r="E389" s="5">
        <f>SUM(E387:E388)</f>
        <v>637</v>
      </c>
      <c r="K389" s="127"/>
      <c r="L389" s="128"/>
    </row>
    <row r="390" spans="4:12">
      <c r="D390" s="667" t="s">
        <v>0</v>
      </c>
      <c r="E390" s="667"/>
      <c r="H390" s="667" t="s">
        <v>0</v>
      </c>
      <c r="I390" s="667"/>
      <c r="K390" s="129"/>
      <c r="L390" s="130"/>
    </row>
    <row r="391" spans="4:12">
      <c r="D391" s="124" t="s">
        <v>1</v>
      </c>
      <c r="E391" s="2">
        <v>45537</v>
      </c>
      <c r="H391" s="125" t="s">
        <v>1</v>
      </c>
      <c r="I391" s="2">
        <v>45538</v>
      </c>
      <c r="K391" s="129"/>
      <c r="L391" s="130"/>
    </row>
    <row r="392" spans="4:12">
      <c r="D392" s="124" t="s">
        <v>2</v>
      </c>
      <c r="E392" s="124" t="s">
        <v>3</v>
      </c>
      <c r="H392" s="125" t="s">
        <v>2</v>
      </c>
      <c r="I392" s="125" t="s">
        <v>3</v>
      </c>
    </row>
    <row r="393" spans="4:12">
      <c r="D393" s="3" t="s">
        <v>121</v>
      </c>
      <c r="E393" s="4">
        <v>1343</v>
      </c>
      <c r="H393" s="3" t="s">
        <v>126</v>
      </c>
      <c r="I393" s="4">
        <v>1413</v>
      </c>
    </row>
    <row r="394" spans="4:12">
      <c r="D394" s="5" t="s">
        <v>4</v>
      </c>
      <c r="E394" s="5">
        <f>SUM(E393:E393)</f>
        <v>1343</v>
      </c>
      <c r="H394" s="5" t="s">
        <v>4</v>
      </c>
      <c r="I394" s="5">
        <f>SUM(I393:I393)</f>
        <v>1413</v>
      </c>
    </row>
    <row r="396" spans="4:12">
      <c r="D396" s="667" t="s">
        <v>0</v>
      </c>
      <c r="E396" s="667"/>
      <c r="H396" s="667" t="s">
        <v>0</v>
      </c>
      <c r="I396" s="667"/>
    </row>
    <row r="397" spans="4:12">
      <c r="D397" s="126" t="s">
        <v>1</v>
      </c>
      <c r="E397" s="2">
        <v>45539</v>
      </c>
      <c r="H397" s="131" t="s">
        <v>1</v>
      </c>
      <c r="I397" s="2">
        <v>45540</v>
      </c>
    </row>
    <row r="398" spans="4:12">
      <c r="D398" s="126" t="s">
        <v>2</v>
      </c>
      <c r="E398" s="126" t="s">
        <v>3</v>
      </c>
      <c r="H398" s="131" t="s">
        <v>2</v>
      </c>
      <c r="I398" s="131" t="s">
        <v>3</v>
      </c>
    </row>
    <row r="399" spans="4:12">
      <c r="D399" s="3" t="s">
        <v>126</v>
      </c>
      <c r="E399" s="4">
        <v>1311</v>
      </c>
      <c r="H399" s="3" t="s">
        <v>127</v>
      </c>
      <c r="I399" s="4">
        <v>401</v>
      </c>
    </row>
    <row r="400" spans="4:12">
      <c r="D400" s="5" t="s">
        <v>4</v>
      </c>
      <c r="E400" s="5">
        <f>SUM(E399:E399)</f>
        <v>1311</v>
      </c>
      <c r="H400" s="3" t="s">
        <v>128</v>
      </c>
      <c r="I400" s="5">
        <v>197</v>
      </c>
    </row>
    <row r="401" spans="1:9">
      <c r="H401" s="5" t="s">
        <v>4</v>
      </c>
      <c r="I401" s="5">
        <f>I400+I399</f>
        <v>598</v>
      </c>
    </row>
    <row r="402" spans="1:9">
      <c r="D402" s="667" t="s">
        <v>0</v>
      </c>
      <c r="E402" s="667"/>
    </row>
    <row r="403" spans="1:9">
      <c r="D403" s="132" t="s">
        <v>1</v>
      </c>
      <c r="E403" s="2">
        <v>45544</v>
      </c>
      <c r="H403" s="667" t="s">
        <v>0</v>
      </c>
      <c r="I403" s="667"/>
    </row>
    <row r="404" spans="1:9">
      <c r="D404" s="132" t="s">
        <v>2</v>
      </c>
      <c r="E404" s="132" t="s">
        <v>3</v>
      </c>
      <c r="H404" s="133" t="s">
        <v>1</v>
      </c>
      <c r="I404" s="2">
        <v>45545</v>
      </c>
    </row>
    <row r="405" spans="1:9">
      <c r="D405" s="3" t="s">
        <v>69</v>
      </c>
      <c r="E405" s="4">
        <v>211</v>
      </c>
      <c r="H405" s="133" t="s">
        <v>2</v>
      </c>
      <c r="I405" s="133" t="s">
        <v>3</v>
      </c>
    </row>
    <row r="406" spans="1:9">
      <c r="D406" s="3" t="s">
        <v>129</v>
      </c>
      <c r="E406" s="5">
        <v>194</v>
      </c>
      <c r="H406" s="3" t="s">
        <v>121</v>
      </c>
      <c r="I406" s="4">
        <v>452</v>
      </c>
    </row>
    <row r="407" spans="1:9">
      <c r="D407" s="3" t="s">
        <v>121</v>
      </c>
      <c r="E407" s="5">
        <v>452</v>
      </c>
      <c r="H407" s="3" t="s">
        <v>130</v>
      </c>
      <c r="I407" s="5">
        <v>769</v>
      </c>
    </row>
    <row r="408" spans="1:9">
      <c r="D408" s="5" t="s">
        <v>4</v>
      </c>
      <c r="E408" s="5">
        <f>+E405+E406+E407</f>
        <v>857</v>
      </c>
      <c r="H408" s="5" t="s">
        <v>4</v>
      </c>
      <c r="I408" s="5">
        <f>+I406+I407</f>
        <v>1221</v>
      </c>
    </row>
    <row r="410" spans="1:9">
      <c r="A410" s="667" t="s">
        <v>0</v>
      </c>
      <c r="B410" s="667"/>
      <c r="D410" s="667" t="s">
        <v>0</v>
      </c>
      <c r="E410" s="667"/>
      <c r="H410" s="667" t="s">
        <v>0</v>
      </c>
      <c r="I410" s="667"/>
    </row>
    <row r="411" spans="1:9">
      <c r="A411" s="134" t="s">
        <v>1</v>
      </c>
      <c r="B411" s="2">
        <v>45546</v>
      </c>
      <c r="D411" s="135" t="s">
        <v>1</v>
      </c>
      <c r="E411" s="2">
        <v>45547</v>
      </c>
      <c r="H411" s="136" t="s">
        <v>1</v>
      </c>
      <c r="I411" s="2">
        <v>45548</v>
      </c>
    </row>
    <row r="412" spans="1:9">
      <c r="A412" s="134" t="s">
        <v>2</v>
      </c>
      <c r="B412" s="134" t="s">
        <v>3</v>
      </c>
      <c r="D412" s="135" t="s">
        <v>2</v>
      </c>
      <c r="E412" s="135" t="s">
        <v>3</v>
      </c>
      <c r="H412" s="136" t="s">
        <v>2</v>
      </c>
      <c r="I412" s="136" t="s">
        <v>3</v>
      </c>
    </row>
    <row r="413" spans="1:9">
      <c r="A413" s="3" t="s">
        <v>10</v>
      </c>
      <c r="B413" s="4">
        <v>600</v>
      </c>
      <c r="D413" s="3" t="s">
        <v>6</v>
      </c>
      <c r="E413" s="4">
        <v>677</v>
      </c>
      <c r="H413" s="3" t="s">
        <v>6</v>
      </c>
      <c r="I413" s="4">
        <v>123</v>
      </c>
    </row>
    <row r="414" spans="1:9">
      <c r="A414" s="3"/>
      <c r="B414" s="5"/>
      <c r="D414" s="3"/>
      <c r="E414" s="5"/>
      <c r="H414" s="3" t="s">
        <v>128</v>
      </c>
      <c r="I414" s="5">
        <v>601</v>
      </c>
    </row>
    <row r="415" spans="1:9">
      <c r="A415" s="5" t="s">
        <v>4</v>
      </c>
      <c r="B415" s="5">
        <f>+B413+B414</f>
        <v>600</v>
      </c>
      <c r="D415" s="5" t="s">
        <v>4</v>
      </c>
      <c r="E415" s="5">
        <f>+E413+E414</f>
        <v>677</v>
      </c>
      <c r="H415" s="5" t="s">
        <v>4</v>
      </c>
      <c r="I415" s="5">
        <f>+I413+I414</f>
        <v>724</v>
      </c>
    </row>
    <row r="417" spans="1:9">
      <c r="A417" s="667" t="s">
        <v>0</v>
      </c>
      <c r="B417" s="667"/>
      <c r="D417" s="667" t="s">
        <v>0</v>
      </c>
      <c r="E417" s="667"/>
      <c r="H417" s="667" t="s">
        <v>0</v>
      </c>
      <c r="I417" s="667"/>
    </row>
    <row r="418" spans="1:9">
      <c r="A418" s="137" t="s">
        <v>1</v>
      </c>
      <c r="B418" s="2">
        <v>45551</v>
      </c>
      <c r="D418" s="138" t="s">
        <v>1</v>
      </c>
      <c r="E418" s="2">
        <v>45552</v>
      </c>
      <c r="H418" s="139" t="s">
        <v>1</v>
      </c>
      <c r="I418" s="2">
        <v>45553</v>
      </c>
    </row>
    <row r="419" spans="1:9">
      <c r="A419" s="137" t="s">
        <v>2</v>
      </c>
      <c r="B419" s="137" t="s">
        <v>3</v>
      </c>
      <c r="D419" s="138" t="s">
        <v>2</v>
      </c>
      <c r="E419" s="138" t="s">
        <v>3</v>
      </c>
      <c r="H419" s="139" t="s">
        <v>2</v>
      </c>
      <c r="I419" s="139" t="s">
        <v>3</v>
      </c>
    </row>
    <row r="420" spans="1:9">
      <c r="A420" s="3" t="s">
        <v>127</v>
      </c>
      <c r="B420" s="4">
        <v>427</v>
      </c>
      <c r="D420" s="3" t="s">
        <v>121</v>
      </c>
      <c r="E420" s="4">
        <v>586</v>
      </c>
      <c r="H420" s="3" t="s">
        <v>6</v>
      </c>
      <c r="I420" s="4">
        <v>400</v>
      </c>
    </row>
    <row r="421" spans="1:9">
      <c r="A421" s="3"/>
      <c r="B421" s="4"/>
      <c r="D421" s="3" t="s">
        <v>131</v>
      </c>
      <c r="E421" s="4">
        <v>155</v>
      </c>
      <c r="H421" s="3" t="s">
        <v>5</v>
      </c>
      <c r="I421" s="4">
        <v>184</v>
      </c>
    </row>
    <row r="422" spans="1:9">
      <c r="A422" s="3" t="s">
        <v>121</v>
      </c>
      <c r="B422" s="5">
        <v>200</v>
      </c>
      <c r="D422" s="3" t="s">
        <v>130</v>
      </c>
      <c r="E422" s="5">
        <v>755</v>
      </c>
      <c r="H422" s="3"/>
      <c r="I422" s="5"/>
    </row>
    <row r="423" spans="1:9">
      <c r="A423" s="5" t="s">
        <v>4</v>
      </c>
      <c r="B423" s="5">
        <f>+B420+B422</f>
        <v>627</v>
      </c>
      <c r="D423" s="5" t="s">
        <v>4</v>
      </c>
      <c r="E423" s="5">
        <f>+E420+E421+E422</f>
        <v>1496</v>
      </c>
      <c r="H423" s="5" t="s">
        <v>4</v>
      </c>
      <c r="I423" s="5">
        <f>+I420+I421+I422</f>
        <v>584</v>
      </c>
    </row>
    <row r="425" spans="1:9">
      <c r="A425" s="667" t="s">
        <v>0</v>
      </c>
      <c r="B425" s="667"/>
      <c r="D425" s="667" t="s">
        <v>0</v>
      </c>
      <c r="E425" s="667"/>
      <c r="H425" s="667" t="s">
        <v>0</v>
      </c>
      <c r="I425" s="667"/>
    </row>
    <row r="426" spans="1:9">
      <c r="A426" s="140" t="s">
        <v>1</v>
      </c>
      <c r="B426" s="2">
        <v>45554</v>
      </c>
      <c r="D426" s="141" t="s">
        <v>1</v>
      </c>
      <c r="E426" s="2">
        <v>45555</v>
      </c>
      <c r="H426" s="142" t="s">
        <v>1</v>
      </c>
      <c r="I426" s="2">
        <v>45558</v>
      </c>
    </row>
    <row r="427" spans="1:9">
      <c r="A427" s="140" t="s">
        <v>2</v>
      </c>
      <c r="B427" s="140" t="s">
        <v>3</v>
      </c>
      <c r="D427" s="141" t="s">
        <v>2</v>
      </c>
      <c r="E427" s="141" t="s">
        <v>3</v>
      </c>
      <c r="H427" s="142" t="s">
        <v>2</v>
      </c>
      <c r="I427" s="142" t="s">
        <v>3</v>
      </c>
    </row>
    <row r="428" spans="1:9">
      <c r="A428" s="3" t="s">
        <v>5</v>
      </c>
      <c r="B428" s="4">
        <v>216</v>
      </c>
      <c r="D428" s="3" t="s">
        <v>17</v>
      </c>
      <c r="E428" s="4">
        <v>1350</v>
      </c>
      <c r="H428" s="3" t="s">
        <v>131</v>
      </c>
      <c r="I428" s="4">
        <v>776</v>
      </c>
    </row>
    <row r="429" spans="1:9">
      <c r="A429" s="3" t="s">
        <v>18</v>
      </c>
      <c r="B429" s="4">
        <v>1031</v>
      </c>
      <c r="D429" s="3"/>
      <c r="E429" s="4"/>
      <c r="H429" s="3" t="s">
        <v>90</v>
      </c>
      <c r="I429" s="4">
        <v>312</v>
      </c>
    </row>
    <row r="430" spans="1:9">
      <c r="A430" s="3"/>
      <c r="B430" s="5"/>
      <c r="D430" s="3"/>
      <c r="E430" s="5"/>
      <c r="H430" s="3"/>
      <c r="I430" s="5"/>
    </row>
    <row r="431" spans="1:9">
      <c r="A431" s="5" t="s">
        <v>4</v>
      </c>
      <c r="B431" s="5">
        <f>+B428+B429+B430</f>
        <v>1247</v>
      </c>
      <c r="D431" s="5" t="s">
        <v>4</v>
      </c>
      <c r="E431" s="5">
        <f>+E428+E429+E430</f>
        <v>1350</v>
      </c>
      <c r="H431" s="5" t="s">
        <v>4</v>
      </c>
      <c r="I431" s="5">
        <f>+I428+I429+I430</f>
        <v>1088</v>
      </c>
    </row>
    <row r="433" spans="1:9">
      <c r="A433" s="667" t="s">
        <v>0</v>
      </c>
      <c r="B433" s="667"/>
      <c r="D433" s="667" t="s">
        <v>0</v>
      </c>
      <c r="E433" s="667"/>
      <c r="H433" s="667" t="s">
        <v>0</v>
      </c>
      <c r="I433" s="667"/>
    </row>
    <row r="434" spans="1:9">
      <c r="A434" s="143" t="s">
        <v>1</v>
      </c>
      <c r="B434" s="2">
        <v>45559</v>
      </c>
      <c r="D434" s="144" t="s">
        <v>1</v>
      </c>
      <c r="E434" s="2">
        <v>45560</v>
      </c>
      <c r="H434" s="145" t="s">
        <v>1</v>
      </c>
      <c r="I434" s="2">
        <v>45561</v>
      </c>
    </row>
    <row r="435" spans="1:9">
      <c r="A435" s="143" t="s">
        <v>2</v>
      </c>
      <c r="B435" s="143" t="s">
        <v>3</v>
      </c>
      <c r="D435" s="144" t="s">
        <v>2</v>
      </c>
      <c r="E435" s="144" t="s">
        <v>3</v>
      </c>
      <c r="H435" s="145" t="s">
        <v>2</v>
      </c>
      <c r="I435" s="145" t="s">
        <v>3</v>
      </c>
    </row>
    <row r="436" spans="1:9">
      <c r="A436" s="3"/>
      <c r="B436" s="4"/>
      <c r="D436" s="3"/>
      <c r="E436" s="4"/>
      <c r="H436" s="3" t="s">
        <v>133</v>
      </c>
      <c r="I436" s="4">
        <v>8</v>
      </c>
    </row>
    <row r="437" spans="1:9">
      <c r="A437" s="3" t="s">
        <v>90</v>
      </c>
      <c r="B437" s="4">
        <v>714</v>
      </c>
      <c r="D437" s="3" t="s">
        <v>117</v>
      </c>
      <c r="E437" s="4">
        <v>737</v>
      </c>
      <c r="H437" s="3" t="s">
        <v>132</v>
      </c>
      <c r="I437" s="4">
        <v>219</v>
      </c>
    </row>
    <row r="438" spans="1:9">
      <c r="A438" s="3" t="s">
        <v>117</v>
      </c>
      <c r="B438" s="5">
        <v>241</v>
      </c>
      <c r="D438" s="3" t="s">
        <v>132</v>
      </c>
      <c r="E438" s="5">
        <v>341</v>
      </c>
      <c r="H438" s="3" t="s">
        <v>124</v>
      </c>
      <c r="I438" s="5">
        <v>450</v>
      </c>
    </row>
    <row r="439" spans="1:9">
      <c r="A439" s="5" t="s">
        <v>4</v>
      </c>
      <c r="B439" s="5">
        <f>+B436+B437+B438</f>
        <v>955</v>
      </c>
      <c r="D439" s="5" t="s">
        <v>4</v>
      </c>
      <c r="E439" s="5">
        <f>E437+E438</f>
        <v>1078</v>
      </c>
      <c r="H439" s="5" t="s">
        <v>4</v>
      </c>
      <c r="I439" s="5">
        <f>I436+I437+I438</f>
        <v>677</v>
      </c>
    </row>
    <row r="441" spans="1:9">
      <c r="A441" s="667" t="s">
        <v>0</v>
      </c>
      <c r="B441" s="667"/>
      <c r="D441" s="667" t="s">
        <v>0</v>
      </c>
      <c r="E441" s="667"/>
      <c r="H441" s="667" t="s">
        <v>0</v>
      </c>
      <c r="I441" s="667"/>
    </row>
    <row r="442" spans="1:9">
      <c r="A442" s="146" t="s">
        <v>1</v>
      </c>
      <c r="B442" s="2">
        <v>45562</v>
      </c>
      <c r="D442" s="147" t="s">
        <v>1</v>
      </c>
      <c r="E442" s="2">
        <v>45566</v>
      </c>
      <c r="H442" s="148" t="s">
        <v>1</v>
      </c>
      <c r="I442" s="2">
        <v>45567</v>
      </c>
    </row>
    <row r="443" spans="1:9">
      <c r="A443" s="146" t="s">
        <v>2</v>
      </c>
      <c r="B443" s="146" t="s">
        <v>3</v>
      </c>
      <c r="D443" s="147" t="s">
        <v>2</v>
      </c>
      <c r="E443" s="147" t="s">
        <v>3</v>
      </c>
      <c r="H443" s="148" t="s">
        <v>2</v>
      </c>
      <c r="I443" s="148" t="s">
        <v>3</v>
      </c>
    </row>
    <row r="444" spans="1:9">
      <c r="A444" s="3" t="s">
        <v>134</v>
      </c>
      <c r="B444" s="4">
        <v>350</v>
      </c>
      <c r="D444" s="3" t="s">
        <v>136</v>
      </c>
      <c r="E444" s="4">
        <v>304</v>
      </c>
      <c r="H444" s="3" t="s">
        <v>136</v>
      </c>
      <c r="I444" s="4">
        <v>97</v>
      </c>
    </row>
    <row r="445" spans="1:9">
      <c r="A445" s="3" t="s">
        <v>135</v>
      </c>
      <c r="B445" s="4">
        <v>350</v>
      </c>
      <c r="D445" s="3"/>
      <c r="E445" s="4"/>
      <c r="H445" s="3" t="s">
        <v>123</v>
      </c>
      <c r="I445" s="4">
        <v>677</v>
      </c>
    </row>
    <row r="446" spans="1:9">
      <c r="A446" s="3"/>
      <c r="B446" s="5"/>
      <c r="D446" s="3"/>
      <c r="E446" s="5"/>
      <c r="H446" s="3"/>
      <c r="I446" s="5"/>
    </row>
    <row r="447" spans="1:9">
      <c r="A447" s="5" t="s">
        <v>4</v>
      </c>
      <c r="B447" s="5">
        <f>B444+B445+B446</f>
        <v>700</v>
      </c>
      <c r="D447" s="5" t="s">
        <v>4</v>
      </c>
      <c r="E447" s="5">
        <f>E444+E445+E446</f>
        <v>304</v>
      </c>
      <c r="H447" s="5" t="s">
        <v>4</v>
      </c>
      <c r="I447" s="5">
        <f>I444+I445+I446</f>
        <v>774</v>
      </c>
    </row>
    <row r="449" spans="1:9">
      <c r="A449" s="667" t="s">
        <v>0</v>
      </c>
      <c r="B449" s="667"/>
      <c r="D449" s="667" t="s">
        <v>0</v>
      </c>
      <c r="E449" s="667"/>
      <c r="H449" s="667" t="s">
        <v>0</v>
      </c>
      <c r="I449" s="667"/>
    </row>
    <row r="450" spans="1:9">
      <c r="A450" s="149" t="s">
        <v>1</v>
      </c>
      <c r="B450" s="2">
        <v>45568</v>
      </c>
      <c r="D450" s="150" t="s">
        <v>1</v>
      </c>
      <c r="E450" s="2">
        <v>45569</v>
      </c>
      <c r="H450" s="151" t="s">
        <v>1</v>
      </c>
      <c r="I450" s="2">
        <v>45572</v>
      </c>
    </row>
    <row r="451" spans="1:9">
      <c r="A451" s="149" t="s">
        <v>2</v>
      </c>
      <c r="B451" s="149" t="s">
        <v>3</v>
      </c>
      <c r="D451" s="150" t="s">
        <v>2</v>
      </c>
      <c r="E451" s="150" t="s">
        <v>3</v>
      </c>
      <c r="H451" s="151" t="s">
        <v>2</v>
      </c>
      <c r="I451" s="151" t="s">
        <v>3</v>
      </c>
    </row>
    <row r="452" spans="1:9">
      <c r="A452" s="3"/>
      <c r="B452" s="4"/>
      <c r="D452" s="3"/>
      <c r="E452" s="4"/>
      <c r="H452" s="3"/>
      <c r="I452" s="4"/>
    </row>
    <row r="453" spans="1:9">
      <c r="A453" s="3" t="s">
        <v>123</v>
      </c>
      <c r="B453" s="4">
        <v>323</v>
      </c>
      <c r="D453" s="3" t="s">
        <v>10</v>
      </c>
      <c r="E453" s="4">
        <v>579</v>
      </c>
      <c r="H453" s="3" t="s">
        <v>10</v>
      </c>
      <c r="I453" s="4">
        <v>453</v>
      </c>
    </row>
    <row r="454" spans="1:9">
      <c r="A454" s="3"/>
      <c r="B454" s="5"/>
      <c r="D454" s="3"/>
      <c r="E454" s="5"/>
      <c r="H454" s="3"/>
      <c r="I454" s="5"/>
    </row>
    <row r="455" spans="1:9">
      <c r="A455" s="5" t="s">
        <v>4</v>
      </c>
      <c r="B455" s="5">
        <f>B452+B453+B454</f>
        <v>323</v>
      </c>
      <c r="D455" s="5" t="s">
        <v>4</v>
      </c>
      <c r="E455" s="5">
        <f>E452+E453+E454</f>
        <v>579</v>
      </c>
      <c r="H455" s="5" t="s">
        <v>4</v>
      </c>
      <c r="I455" s="5">
        <f>I452+I453+I454</f>
        <v>453</v>
      </c>
    </row>
    <row r="458" spans="1:9">
      <c r="A458" s="667" t="s">
        <v>0</v>
      </c>
      <c r="B458" s="667"/>
      <c r="D458" s="667" t="s">
        <v>0</v>
      </c>
      <c r="E458" s="667"/>
      <c r="H458" s="667" t="s">
        <v>0</v>
      </c>
      <c r="I458" s="667"/>
    </row>
    <row r="459" spans="1:9">
      <c r="A459" s="152" t="s">
        <v>1</v>
      </c>
      <c r="B459" s="2">
        <v>45575</v>
      </c>
      <c r="D459" s="153" t="s">
        <v>1</v>
      </c>
      <c r="E459" s="2">
        <v>45576</v>
      </c>
      <c r="H459" s="154" t="s">
        <v>1</v>
      </c>
      <c r="I459" s="2">
        <v>45577</v>
      </c>
    </row>
    <row r="460" spans="1:9">
      <c r="A460" s="152" t="s">
        <v>2</v>
      </c>
      <c r="B460" s="152" t="s">
        <v>3</v>
      </c>
      <c r="D460" s="153" t="s">
        <v>2</v>
      </c>
      <c r="E460" s="153" t="s">
        <v>3</v>
      </c>
      <c r="H460" s="154" t="s">
        <v>2</v>
      </c>
      <c r="I460" s="154" t="s">
        <v>3</v>
      </c>
    </row>
    <row r="461" spans="1:9">
      <c r="A461" s="3" t="s">
        <v>10</v>
      </c>
      <c r="B461" s="4">
        <v>261</v>
      </c>
      <c r="D461" s="3" t="s">
        <v>136</v>
      </c>
      <c r="E461" s="4">
        <v>413</v>
      </c>
      <c r="H461" s="3" t="s">
        <v>122</v>
      </c>
      <c r="I461" s="4">
        <v>455</v>
      </c>
    </row>
    <row r="462" spans="1:9">
      <c r="A462" s="3" t="s">
        <v>136</v>
      </c>
      <c r="B462" s="4">
        <v>468</v>
      </c>
      <c r="D462" s="3" t="s">
        <v>122</v>
      </c>
      <c r="E462" s="4">
        <v>441</v>
      </c>
      <c r="H462" s="3" t="s">
        <v>137</v>
      </c>
      <c r="I462" s="4">
        <v>702</v>
      </c>
    </row>
    <row r="463" spans="1:9">
      <c r="A463" s="3"/>
      <c r="B463" s="5"/>
      <c r="D463" s="3"/>
      <c r="E463" s="5"/>
      <c r="H463" s="3"/>
      <c r="I463" s="5"/>
    </row>
    <row r="464" spans="1:9">
      <c r="A464" s="5" t="s">
        <v>4</v>
      </c>
      <c r="B464" s="5">
        <f>B461+B462</f>
        <v>729</v>
      </c>
      <c r="D464" s="5" t="s">
        <v>4</v>
      </c>
      <c r="E464" s="5">
        <f>E461+E462</f>
        <v>854</v>
      </c>
      <c r="H464" s="5" t="s">
        <v>4</v>
      </c>
      <c r="I464" s="5">
        <f>I461+I462</f>
        <v>1157</v>
      </c>
    </row>
    <row r="467" spans="1:9">
      <c r="A467" s="667" t="s">
        <v>0</v>
      </c>
      <c r="B467" s="667"/>
      <c r="D467" s="667" t="s">
        <v>0</v>
      </c>
      <c r="E467" s="667"/>
      <c r="H467" s="667" t="s">
        <v>0</v>
      </c>
      <c r="I467" s="667"/>
    </row>
    <row r="468" spans="1:9">
      <c r="A468" s="155" t="s">
        <v>1</v>
      </c>
      <c r="B468" s="2">
        <v>45580</v>
      </c>
      <c r="D468" s="156" t="s">
        <v>1</v>
      </c>
      <c r="E468" s="2">
        <v>45581</v>
      </c>
      <c r="H468" s="157" t="s">
        <v>1</v>
      </c>
      <c r="I468" s="2">
        <v>45582</v>
      </c>
    </row>
    <row r="469" spans="1:9">
      <c r="A469" s="155" t="s">
        <v>2</v>
      </c>
      <c r="B469" s="155" t="s">
        <v>3</v>
      </c>
      <c r="D469" s="156" t="s">
        <v>2</v>
      </c>
      <c r="E469" s="156" t="s">
        <v>3</v>
      </c>
      <c r="H469" s="157" t="s">
        <v>2</v>
      </c>
      <c r="I469" s="157" t="s">
        <v>3</v>
      </c>
    </row>
    <row r="470" spans="1:9">
      <c r="A470" s="3" t="s">
        <v>27</v>
      </c>
      <c r="B470" s="4">
        <v>350</v>
      </c>
      <c r="D470" s="3"/>
      <c r="E470" s="4"/>
      <c r="H470" s="3"/>
      <c r="I470" s="4"/>
    </row>
    <row r="471" spans="1:9">
      <c r="A471" s="3" t="s">
        <v>138</v>
      </c>
      <c r="B471" s="4">
        <v>105</v>
      </c>
      <c r="D471" s="3"/>
      <c r="E471" s="4"/>
      <c r="H471" s="3"/>
      <c r="I471" s="4"/>
    </row>
    <row r="472" spans="1:9">
      <c r="A472" s="3" t="s">
        <v>103</v>
      </c>
      <c r="B472" s="4">
        <v>105</v>
      </c>
      <c r="D472" s="3" t="s">
        <v>139</v>
      </c>
      <c r="E472" s="4">
        <v>641</v>
      </c>
      <c r="H472" s="3" t="s">
        <v>139</v>
      </c>
      <c r="I472" s="4">
        <v>904</v>
      </c>
    </row>
    <row r="473" spans="1:9">
      <c r="A473" s="3" t="s">
        <v>139</v>
      </c>
      <c r="B473" s="5">
        <v>41</v>
      </c>
      <c r="D473" s="3"/>
      <c r="E473" s="5"/>
      <c r="H473" s="3"/>
      <c r="I473" s="5"/>
    </row>
    <row r="474" spans="1:9">
      <c r="A474" s="5" t="s">
        <v>4</v>
      </c>
      <c r="B474" s="5">
        <f>B470+B471+B472+B473</f>
        <v>601</v>
      </c>
      <c r="D474" s="5" t="s">
        <v>4</v>
      </c>
      <c r="E474" s="5">
        <f>E470+E471+E472+E473</f>
        <v>641</v>
      </c>
      <c r="H474" s="5" t="s">
        <v>4</v>
      </c>
      <c r="I474" s="5">
        <f>I470+I471+I472+I473</f>
        <v>904</v>
      </c>
    </row>
    <row r="476" spans="1:9">
      <c r="A476" s="667" t="s">
        <v>0</v>
      </c>
      <c r="B476" s="667"/>
      <c r="D476" s="667" t="s">
        <v>0</v>
      </c>
      <c r="E476" s="667"/>
      <c r="H476" s="667" t="s">
        <v>0</v>
      </c>
      <c r="I476" s="667"/>
    </row>
    <row r="477" spans="1:9">
      <c r="A477" s="158" t="s">
        <v>1</v>
      </c>
      <c r="B477" s="2">
        <v>45583</v>
      </c>
      <c r="D477" s="159" t="s">
        <v>1</v>
      </c>
      <c r="E477" s="2">
        <v>45586</v>
      </c>
      <c r="H477" s="160" t="s">
        <v>1</v>
      </c>
      <c r="I477" s="2">
        <v>45587</v>
      </c>
    </row>
    <row r="478" spans="1:9">
      <c r="A478" s="158" t="s">
        <v>2</v>
      </c>
      <c r="B478" s="158" t="s">
        <v>3</v>
      </c>
      <c r="D478" s="159" t="s">
        <v>2</v>
      </c>
      <c r="E478" s="159" t="s">
        <v>3</v>
      </c>
      <c r="H478" s="160" t="s">
        <v>2</v>
      </c>
      <c r="I478" s="160" t="s">
        <v>3</v>
      </c>
    </row>
    <row r="479" spans="1:9">
      <c r="A479" s="3"/>
      <c r="B479" s="4"/>
      <c r="D479" s="3"/>
      <c r="E479" s="4"/>
      <c r="H479" s="3"/>
      <c r="I479" s="4"/>
    </row>
    <row r="480" spans="1:9">
      <c r="A480" s="3" t="s">
        <v>138</v>
      </c>
      <c r="B480" s="4">
        <v>249</v>
      </c>
      <c r="D480" s="3" t="s">
        <v>142</v>
      </c>
      <c r="E480" s="4">
        <v>272</v>
      </c>
      <c r="H480" s="3" t="s">
        <v>144</v>
      </c>
      <c r="I480" s="4">
        <v>518</v>
      </c>
    </row>
    <row r="481" spans="1:9">
      <c r="A481" s="3" t="s">
        <v>140</v>
      </c>
      <c r="B481" s="4">
        <v>500</v>
      </c>
      <c r="D481" s="3" t="s">
        <v>143</v>
      </c>
      <c r="E481" s="4">
        <v>284</v>
      </c>
      <c r="H481" s="3" t="s">
        <v>145</v>
      </c>
      <c r="I481" s="4">
        <v>932</v>
      </c>
    </row>
    <row r="482" spans="1:9">
      <c r="A482" s="3" t="s">
        <v>141</v>
      </c>
      <c r="B482" s="5">
        <v>330</v>
      </c>
      <c r="D482" s="3" t="s">
        <v>144</v>
      </c>
      <c r="E482" s="5">
        <v>111</v>
      </c>
      <c r="H482" s="3"/>
      <c r="I482" s="5"/>
    </row>
    <row r="483" spans="1:9">
      <c r="A483" s="5" t="s">
        <v>4</v>
      </c>
      <c r="B483" s="5">
        <f>B479+B480+B481+B482</f>
        <v>1079</v>
      </c>
      <c r="D483" s="5" t="s">
        <v>4</v>
      </c>
      <c r="E483" s="5">
        <f>E479+E480+E481+E482</f>
        <v>667</v>
      </c>
      <c r="H483" s="5" t="s">
        <v>4</v>
      </c>
      <c r="I483" s="5">
        <f>I479+I480+I481+I482</f>
        <v>1450</v>
      </c>
    </row>
    <row r="486" spans="1:9">
      <c r="A486" s="667" t="s">
        <v>0</v>
      </c>
      <c r="B486" s="667"/>
      <c r="D486" s="667" t="s">
        <v>0</v>
      </c>
      <c r="E486" s="667"/>
      <c r="H486" s="667" t="s">
        <v>0</v>
      </c>
      <c r="I486" s="667"/>
    </row>
    <row r="487" spans="1:9">
      <c r="A487" s="161" t="s">
        <v>1</v>
      </c>
      <c r="B487" s="2">
        <v>45588</v>
      </c>
      <c r="D487" s="162" t="s">
        <v>1</v>
      </c>
      <c r="E487" s="2">
        <v>45589</v>
      </c>
      <c r="H487" s="163" t="s">
        <v>1</v>
      </c>
      <c r="I487" s="2">
        <v>45590</v>
      </c>
    </row>
    <row r="488" spans="1:9">
      <c r="A488" s="161" t="s">
        <v>2</v>
      </c>
      <c r="B488" s="161" t="s">
        <v>3</v>
      </c>
      <c r="D488" s="162" t="s">
        <v>2</v>
      </c>
      <c r="E488" s="162" t="s">
        <v>3</v>
      </c>
      <c r="H488" s="163" t="s">
        <v>2</v>
      </c>
      <c r="I488" s="163" t="s">
        <v>3</v>
      </c>
    </row>
    <row r="489" spans="1:9">
      <c r="A489" s="3"/>
      <c r="B489" s="4"/>
      <c r="D489" s="3"/>
      <c r="E489" s="4"/>
      <c r="H489" s="3"/>
      <c r="I489" s="4"/>
    </row>
    <row r="490" spans="1:9">
      <c r="A490" s="3" t="s">
        <v>25</v>
      </c>
      <c r="B490" s="4">
        <v>651</v>
      </c>
      <c r="D490" s="3" t="s">
        <v>20</v>
      </c>
      <c r="E490" s="4">
        <v>250</v>
      </c>
      <c r="H490" s="3" t="s">
        <v>20</v>
      </c>
      <c r="I490" s="4">
        <v>233</v>
      </c>
    </row>
    <row r="491" spans="1:9">
      <c r="A491" s="3"/>
      <c r="B491" s="4"/>
      <c r="D491" s="3"/>
      <c r="E491" s="4"/>
      <c r="H491" s="3"/>
      <c r="I491" s="4"/>
    </row>
    <row r="492" spans="1:9">
      <c r="A492" s="3"/>
      <c r="B492" s="5"/>
      <c r="D492" s="3"/>
      <c r="E492" s="5"/>
      <c r="H492" s="3"/>
      <c r="I492" s="5"/>
    </row>
    <row r="493" spans="1:9">
      <c r="A493" s="5" t="s">
        <v>4</v>
      </c>
      <c r="B493" s="5">
        <f>B489+B490+B491+B492</f>
        <v>651</v>
      </c>
      <c r="D493" s="5" t="s">
        <v>4</v>
      </c>
      <c r="E493" s="5">
        <f>E489+E490+E491+E492</f>
        <v>250</v>
      </c>
      <c r="H493" s="5" t="s">
        <v>4</v>
      </c>
      <c r="I493" s="5">
        <f>I489+I490+I491+I492</f>
        <v>233</v>
      </c>
    </row>
    <row r="495" spans="1:9">
      <c r="A495" s="667" t="s">
        <v>0</v>
      </c>
      <c r="B495" s="667"/>
      <c r="D495" s="667" t="s">
        <v>0</v>
      </c>
      <c r="E495" s="667"/>
      <c r="H495" s="667" t="s">
        <v>0</v>
      </c>
      <c r="I495" s="667"/>
    </row>
    <row r="496" spans="1:9">
      <c r="A496" s="164" t="s">
        <v>1</v>
      </c>
      <c r="B496" s="2">
        <v>45591</v>
      </c>
      <c r="D496" s="165" t="s">
        <v>1</v>
      </c>
      <c r="E496" s="2">
        <v>45593</v>
      </c>
      <c r="H496" s="166" t="s">
        <v>1</v>
      </c>
      <c r="I496" s="2">
        <v>45594</v>
      </c>
    </row>
    <row r="497" spans="1:9">
      <c r="A497" s="164" t="s">
        <v>2</v>
      </c>
      <c r="B497" s="164" t="s">
        <v>3</v>
      </c>
      <c r="D497" s="165" t="s">
        <v>2</v>
      </c>
      <c r="E497" s="165" t="s">
        <v>3</v>
      </c>
      <c r="H497" s="166" t="s">
        <v>2</v>
      </c>
      <c r="I497" s="166" t="s">
        <v>3</v>
      </c>
    </row>
    <row r="498" spans="1:9">
      <c r="A498" s="3"/>
      <c r="B498" s="4"/>
      <c r="D498" s="3"/>
      <c r="E498" s="4"/>
      <c r="H498" s="3"/>
      <c r="I498" s="4"/>
    </row>
    <row r="499" spans="1:9">
      <c r="A499" s="3" t="s">
        <v>20</v>
      </c>
      <c r="B499" s="4">
        <v>132</v>
      </c>
      <c r="D499" s="3" t="s">
        <v>20</v>
      </c>
      <c r="E499" s="4">
        <v>226</v>
      </c>
      <c r="H499" s="3"/>
      <c r="I499" s="4"/>
    </row>
    <row r="500" spans="1:9">
      <c r="A500" s="3"/>
      <c r="B500" s="4"/>
      <c r="D500" s="3" t="s">
        <v>30</v>
      </c>
      <c r="E500" s="4">
        <v>12</v>
      </c>
      <c r="H500" s="3" t="s">
        <v>30</v>
      </c>
      <c r="I500" s="4">
        <v>869</v>
      </c>
    </row>
    <row r="501" spans="1:9">
      <c r="A501" s="3"/>
      <c r="B501" s="5"/>
      <c r="D501" s="3"/>
      <c r="E501" s="5"/>
      <c r="H501" s="3"/>
      <c r="I501" s="5"/>
    </row>
    <row r="502" spans="1:9">
      <c r="A502" s="5" t="s">
        <v>4</v>
      </c>
      <c r="B502" s="5">
        <f>B498+B499+B500+B501</f>
        <v>132</v>
      </c>
      <c r="D502" s="5" t="s">
        <v>4</v>
      </c>
      <c r="E502" s="5">
        <f>E498+E499+E500+E501</f>
        <v>238</v>
      </c>
      <c r="H502" s="5" t="s">
        <v>4</v>
      </c>
      <c r="I502" s="5">
        <f>I498+I499+I500+I501</f>
        <v>869</v>
      </c>
    </row>
    <row r="505" spans="1:9">
      <c r="A505" s="667" t="s">
        <v>0</v>
      </c>
      <c r="B505" s="667"/>
      <c r="D505" s="667" t="s">
        <v>0</v>
      </c>
      <c r="E505" s="667"/>
      <c r="H505" s="667" t="s">
        <v>0</v>
      </c>
      <c r="I505" s="667"/>
    </row>
    <row r="506" spans="1:9">
      <c r="A506" s="167" t="s">
        <v>1</v>
      </c>
      <c r="B506" s="2">
        <v>45595</v>
      </c>
      <c r="D506" s="168" t="s">
        <v>1</v>
      </c>
      <c r="E506" s="2">
        <v>45596</v>
      </c>
      <c r="H506" s="169" t="s">
        <v>1</v>
      </c>
      <c r="I506" s="2">
        <v>45597</v>
      </c>
    </row>
    <row r="507" spans="1:9">
      <c r="A507" s="167" t="s">
        <v>2</v>
      </c>
      <c r="B507" s="167" t="s">
        <v>3</v>
      </c>
      <c r="D507" s="168" t="s">
        <v>2</v>
      </c>
      <c r="E507" s="168" t="s">
        <v>3</v>
      </c>
      <c r="H507" s="169" t="s">
        <v>2</v>
      </c>
      <c r="I507" s="169" t="s">
        <v>3</v>
      </c>
    </row>
    <row r="508" spans="1:9">
      <c r="A508" s="3"/>
      <c r="B508" s="4"/>
      <c r="D508" s="3"/>
      <c r="E508" s="4"/>
      <c r="H508" s="3"/>
      <c r="I508" s="4"/>
    </row>
    <row r="509" spans="1:9">
      <c r="A509" s="3"/>
      <c r="B509" s="4"/>
      <c r="D509" s="3" t="s">
        <v>128</v>
      </c>
      <c r="E509" s="4">
        <v>391</v>
      </c>
      <c r="H509" s="3" t="s">
        <v>147</v>
      </c>
      <c r="I509" s="4">
        <v>9</v>
      </c>
    </row>
    <row r="510" spans="1:9">
      <c r="A510" s="3" t="s">
        <v>30</v>
      </c>
      <c r="B510" s="4">
        <v>319</v>
      </c>
      <c r="D510" s="3" t="s">
        <v>90</v>
      </c>
      <c r="E510" s="4">
        <v>334</v>
      </c>
      <c r="H510" s="3" t="s">
        <v>148</v>
      </c>
      <c r="I510" s="4">
        <v>400</v>
      </c>
    </row>
    <row r="511" spans="1:9">
      <c r="A511" s="3" t="s">
        <v>127</v>
      </c>
      <c r="B511" s="5">
        <v>391</v>
      </c>
      <c r="D511" s="3" t="s">
        <v>146</v>
      </c>
      <c r="E511" s="5">
        <v>264</v>
      </c>
      <c r="H511" s="3"/>
      <c r="I511" s="5"/>
    </row>
    <row r="512" spans="1:9">
      <c r="A512" s="5" t="s">
        <v>4</v>
      </c>
      <c r="B512" s="5">
        <f>B508+B509+B510+B511</f>
        <v>710</v>
      </c>
      <c r="D512" s="5" t="s">
        <v>4</v>
      </c>
      <c r="E512" s="5">
        <f>E508+E509+E510+E511</f>
        <v>989</v>
      </c>
      <c r="H512" s="5" t="s">
        <v>4</v>
      </c>
      <c r="I512" s="5">
        <f>I508+I509+I510+I511</f>
        <v>409</v>
      </c>
    </row>
    <row r="514" spans="1:9">
      <c r="A514" s="667" t="s">
        <v>0</v>
      </c>
      <c r="B514" s="667"/>
      <c r="D514" s="667" t="s">
        <v>0</v>
      </c>
      <c r="E514" s="667"/>
      <c r="H514" s="667" t="s">
        <v>0</v>
      </c>
      <c r="I514" s="667"/>
    </row>
    <row r="515" spans="1:9">
      <c r="A515" s="170" t="s">
        <v>1</v>
      </c>
      <c r="B515" s="2">
        <v>45598</v>
      </c>
      <c r="D515" s="171" t="s">
        <v>1</v>
      </c>
      <c r="E515" s="2">
        <v>45601</v>
      </c>
      <c r="H515" s="172" t="s">
        <v>1</v>
      </c>
      <c r="I515" s="2">
        <v>45602</v>
      </c>
    </row>
    <row r="516" spans="1:9">
      <c r="A516" s="170" t="s">
        <v>2</v>
      </c>
      <c r="B516" s="170" t="s">
        <v>3</v>
      </c>
      <c r="D516" s="171" t="s">
        <v>2</v>
      </c>
      <c r="E516" s="171" t="s">
        <v>3</v>
      </c>
      <c r="H516" s="172" t="s">
        <v>2</v>
      </c>
      <c r="I516" s="172" t="s">
        <v>3</v>
      </c>
    </row>
    <row r="517" spans="1:9">
      <c r="A517" s="3"/>
      <c r="B517" s="4"/>
      <c r="D517" s="3"/>
      <c r="E517" s="4"/>
      <c r="H517" s="3"/>
      <c r="I517" s="4"/>
    </row>
    <row r="518" spans="1:9">
      <c r="A518" s="3" t="s">
        <v>149</v>
      </c>
      <c r="B518" s="4">
        <v>397</v>
      </c>
      <c r="D518" s="3" t="s">
        <v>5</v>
      </c>
      <c r="E518" s="4">
        <v>400</v>
      </c>
      <c r="H518" s="3"/>
      <c r="I518" s="4"/>
    </row>
    <row r="519" spans="1:9">
      <c r="A519" s="3"/>
      <c r="B519" s="4"/>
      <c r="D519" s="3" t="s">
        <v>10</v>
      </c>
      <c r="E519" s="4">
        <v>38</v>
      </c>
      <c r="H519" s="3" t="s">
        <v>10</v>
      </c>
      <c r="I519" s="4">
        <v>362</v>
      </c>
    </row>
    <row r="520" spans="1:9">
      <c r="A520" s="3"/>
      <c r="B520" s="5"/>
      <c r="D520" s="3"/>
      <c r="E520" s="5"/>
      <c r="H520" s="3" t="s">
        <v>150</v>
      </c>
      <c r="I520" s="5">
        <v>315</v>
      </c>
    </row>
    <row r="521" spans="1:9">
      <c r="A521" s="5" t="s">
        <v>4</v>
      </c>
      <c r="B521" s="5">
        <f>B517+B518+B519+B520</f>
        <v>397</v>
      </c>
      <c r="D521" s="5" t="s">
        <v>4</v>
      </c>
      <c r="E521" s="5">
        <f>E517+E518+E519+E520</f>
        <v>438</v>
      </c>
      <c r="H521" s="5" t="s">
        <v>4</v>
      </c>
      <c r="I521" s="5">
        <f>I517+I518+I519+I520</f>
        <v>677</v>
      </c>
    </row>
    <row r="523" spans="1:9">
      <c r="A523" s="667" t="s">
        <v>0</v>
      </c>
      <c r="B523" s="667"/>
      <c r="D523" s="667" t="s">
        <v>0</v>
      </c>
      <c r="E523" s="667"/>
      <c r="H523" s="667" t="s">
        <v>0</v>
      </c>
      <c r="I523" s="667"/>
    </row>
    <row r="524" spans="1:9">
      <c r="A524" s="173" t="s">
        <v>1</v>
      </c>
      <c r="B524" s="2">
        <v>45603</v>
      </c>
      <c r="D524" s="174" t="s">
        <v>1</v>
      </c>
      <c r="E524" s="2">
        <v>45604</v>
      </c>
      <c r="H524" s="175" t="s">
        <v>1</v>
      </c>
      <c r="I524" s="2">
        <v>45608</v>
      </c>
    </row>
    <row r="525" spans="1:9">
      <c r="A525" s="173" t="s">
        <v>2</v>
      </c>
      <c r="B525" s="173" t="s">
        <v>3</v>
      </c>
      <c r="D525" s="174" t="s">
        <v>2</v>
      </c>
      <c r="E525" s="174" t="s">
        <v>3</v>
      </c>
      <c r="H525" s="175" t="s">
        <v>2</v>
      </c>
      <c r="I525" s="175" t="s">
        <v>3</v>
      </c>
    </row>
    <row r="526" spans="1:9">
      <c r="A526" s="3"/>
      <c r="B526" s="4"/>
      <c r="D526" s="3"/>
      <c r="E526" s="4"/>
      <c r="H526" s="3"/>
      <c r="I526" s="4"/>
    </row>
    <row r="527" spans="1:9">
      <c r="A527" s="3"/>
      <c r="B527" s="4"/>
      <c r="D527" s="3"/>
      <c r="E527" s="4"/>
      <c r="H527" s="3" t="s">
        <v>136</v>
      </c>
      <c r="I527" s="5">
        <v>825</v>
      </c>
    </row>
    <row r="528" spans="1:9">
      <c r="A528" s="3" t="s">
        <v>150</v>
      </c>
      <c r="B528" s="4">
        <v>944</v>
      </c>
      <c r="D528" s="3"/>
      <c r="E528" s="4"/>
      <c r="H528" s="3"/>
      <c r="I528" s="4"/>
    </row>
    <row r="529" spans="1:9">
      <c r="A529" s="3" t="s">
        <v>6</v>
      </c>
      <c r="B529" s="5">
        <v>440</v>
      </c>
      <c r="D529" s="3" t="s">
        <v>6</v>
      </c>
      <c r="E529" s="5">
        <v>1000</v>
      </c>
      <c r="H529" s="3"/>
      <c r="I529" s="5"/>
    </row>
    <row r="530" spans="1:9">
      <c r="A530" s="5" t="s">
        <v>4</v>
      </c>
      <c r="B530" s="5">
        <f>B526+B527+B528+B529</f>
        <v>1384</v>
      </c>
      <c r="D530" s="5" t="s">
        <v>4</v>
      </c>
      <c r="E530" s="5">
        <f>E526+E527+E528+E529</f>
        <v>1000</v>
      </c>
      <c r="H530" s="5" t="s">
        <v>4</v>
      </c>
      <c r="I530" s="5">
        <f>I526+I527+I528+I529</f>
        <v>825</v>
      </c>
    </row>
    <row r="532" spans="1:9">
      <c r="A532" s="667" t="s">
        <v>0</v>
      </c>
      <c r="B532" s="667"/>
      <c r="D532" s="667" t="s">
        <v>0</v>
      </c>
      <c r="E532" s="667"/>
      <c r="H532" s="667" t="s">
        <v>0</v>
      </c>
      <c r="I532" s="667"/>
    </row>
    <row r="533" spans="1:9">
      <c r="A533" s="176" t="s">
        <v>1</v>
      </c>
      <c r="B533" s="2">
        <v>45609</v>
      </c>
      <c r="D533" s="177" t="s">
        <v>1</v>
      </c>
      <c r="E533" s="2">
        <v>45610</v>
      </c>
      <c r="H533" s="178" t="s">
        <v>1</v>
      </c>
      <c r="I533" s="2">
        <v>45611</v>
      </c>
    </row>
    <row r="534" spans="1:9">
      <c r="A534" s="176" t="s">
        <v>2</v>
      </c>
      <c r="B534" s="176" t="s">
        <v>3</v>
      </c>
      <c r="D534" s="177" t="s">
        <v>2</v>
      </c>
      <c r="E534" s="177" t="s">
        <v>3</v>
      </c>
      <c r="H534" s="178" t="s">
        <v>2</v>
      </c>
      <c r="I534" s="178" t="s">
        <v>3</v>
      </c>
    </row>
    <row r="535" spans="1:9">
      <c r="A535" s="3"/>
      <c r="B535" s="4"/>
      <c r="D535" s="3"/>
      <c r="E535" s="4"/>
      <c r="H535" s="3"/>
      <c r="I535" s="4"/>
    </row>
    <row r="536" spans="1:9">
      <c r="A536" s="3" t="s">
        <v>131</v>
      </c>
      <c r="B536" s="5">
        <v>1491</v>
      </c>
      <c r="D536" s="3" t="s">
        <v>6</v>
      </c>
      <c r="E536" s="5">
        <v>127</v>
      </c>
      <c r="H536" s="3" t="s">
        <v>128</v>
      </c>
      <c r="I536" s="5">
        <v>185</v>
      </c>
    </row>
    <row r="537" spans="1:9">
      <c r="A537" s="3" t="s">
        <v>6</v>
      </c>
      <c r="B537" s="4">
        <v>73</v>
      </c>
      <c r="D537" s="3" t="s">
        <v>128</v>
      </c>
      <c r="E537" s="4">
        <v>564</v>
      </c>
      <c r="H537" s="3" t="s">
        <v>34</v>
      </c>
      <c r="I537" s="4">
        <v>630</v>
      </c>
    </row>
    <row r="538" spans="1:9">
      <c r="A538" s="3"/>
      <c r="B538" s="5"/>
      <c r="D538" s="3"/>
      <c r="E538" s="5"/>
      <c r="H538" s="3"/>
      <c r="I538" s="5"/>
    </row>
    <row r="539" spans="1:9">
      <c r="A539" s="5" t="s">
        <v>4</v>
      </c>
      <c r="B539" s="5">
        <f>B536+B537</f>
        <v>1564</v>
      </c>
      <c r="D539" s="5" t="s">
        <v>4</v>
      </c>
      <c r="E539" s="5">
        <f>E536+E537</f>
        <v>691</v>
      </c>
      <c r="H539" s="5" t="s">
        <v>4</v>
      </c>
      <c r="I539" s="5">
        <f>I536+I537</f>
        <v>815</v>
      </c>
    </row>
    <row r="541" spans="1:9" ht="15" customHeight="1">
      <c r="A541" s="667" t="s">
        <v>0</v>
      </c>
      <c r="B541" s="667"/>
      <c r="D541" s="669" t="s">
        <v>0</v>
      </c>
      <c r="E541" s="670"/>
      <c r="H541" s="669" t="s">
        <v>0</v>
      </c>
      <c r="I541" s="670"/>
    </row>
    <row r="542" spans="1:9">
      <c r="A542" s="179" t="s">
        <v>1</v>
      </c>
      <c r="B542" s="2">
        <v>45612</v>
      </c>
      <c r="D542" s="180" t="s">
        <v>1</v>
      </c>
      <c r="E542" s="2">
        <v>45614</v>
      </c>
      <c r="H542" s="181" t="s">
        <v>1</v>
      </c>
      <c r="I542" s="2">
        <v>45615</v>
      </c>
    </row>
    <row r="543" spans="1:9">
      <c r="A543" s="179" t="s">
        <v>2</v>
      </c>
      <c r="B543" s="179" t="s">
        <v>3</v>
      </c>
      <c r="D543" s="180" t="s">
        <v>2</v>
      </c>
      <c r="E543" s="180" t="s">
        <v>3</v>
      </c>
      <c r="H543" s="181" t="s">
        <v>2</v>
      </c>
      <c r="I543" s="181" t="s">
        <v>3</v>
      </c>
    </row>
    <row r="544" spans="1:9">
      <c r="A544" s="3"/>
      <c r="B544" s="4"/>
      <c r="D544" s="3"/>
      <c r="E544" s="4"/>
      <c r="H544" s="3"/>
      <c r="I544" s="4"/>
    </row>
    <row r="545" spans="1:9">
      <c r="A545" s="3" t="s">
        <v>34</v>
      </c>
      <c r="B545" s="5">
        <v>170</v>
      </c>
      <c r="D545" s="3" t="s">
        <v>151</v>
      </c>
      <c r="E545" s="5">
        <v>802</v>
      </c>
      <c r="H545" s="3" t="s">
        <v>122</v>
      </c>
      <c r="I545" s="5">
        <v>412</v>
      </c>
    </row>
    <row r="546" spans="1:9">
      <c r="A546" s="3" t="s">
        <v>27</v>
      </c>
      <c r="B546" s="4">
        <v>420</v>
      </c>
      <c r="D546" s="3" t="s">
        <v>122</v>
      </c>
      <c r="E546" s="4">
        <v>3</v>
      </c>
      <c r="H546" s="3" t="s">
        <v>127</v>
      </c>
      <c r="I546" s="4">
        <v>343</v>
      </c>
    </row>
    <row r="547" spans="1:9">
      <c r="A547" s="3"/>
      <c r="B547" s="5"/>
      <c r="D547" s="3"/>
      <c r="E547" s="5"/>
      <c r="H547" s="3"/>
      <c r="I547" s="5"/>
    </row>
    <row r="548" spans="1:9" ht="15" customHeight="1">
      <c r="A548" s="5" t="s">
        <v>4</v>
      </c>
      <c r="B548" s="5">
        <f>B545+B546</f>
        <v>590</v>
      </c>
      <c r="D548" s="5" t="s">
        <v>4</v>
      </c>
      <c r="E548" s="5">
        <f>E545+E546</f>
        <v>805</v>
      </c>
      <c r="H548" s="5" t="s">
        <v>4</v>
      </c>
      <c r="I548" s="5">
        <f>I545+I546</f>
        <v>755</v>
      </c>
    </row>
    <row r="550" spans="1:9">
      <c r="A550" s="669" t="s">
        <v>0</v>
      </c>
      <c r="B550" s="670"/>
      <c r="D550" s="669" t="s">
        <v>0</v>
      </c>
      <c r="E550" s="670"/>
      <c r="H550" s="669" t="s">
        <v>0</v>
      </c>
      <c r="I550" s="670"/>
    </row>
    <row r="551" spans="1:9">
      <c r="A551" s="182" t="s">
        <v>1</v>
      </c>
      <c r="B551" s="2">
        <v>45616</v>
      </c>
      <c r="D551" s="183" t="s">
        <v>1</v>
      </c>
      <c r="E551" s="2">
        <v>45617</v>
      </c>
      <c r="H551" s="184" t="s">
        <v>1</v>
      </c>
      <c r="I551" s="2">
        <v>45618</v>
      </c>
    </row>
    <row r="552" spans="1:9">
      <c r="A552" s="182" t="s">
        <v>2</v>
      </c>
      <c r="B552" s="182" t="s">
        <v>3</v>
      </c>
      <c r="D552" s="183" t="s">
        <v>2</v>
      </c>
      <c r="E552" s="183" t="s">
        <v>3</v>
      </c>
      <c r="H552" s="184" t="s">
        <v>2</v>
      </c>
      <c r="I552" s="184" t="s">
        <v>3</v>
      </c>
    </row>
    <row r="553" spans="1:9">
      <c r="A553" s="3"/>
      <c r="B553" s="4"/>
      <c r="D553" s="3"/>
      <c r="E553" s="4"/>
      <c r="H553" s="3"/>
      <c r="I553" s="4"/>
    </row>
    <row r="554" spans="1:9">
      <c r="A554" s="3" t="s">
        <v>127</v>
      </c>
      <c r="B554" s="5">
        <v>457</v>
      </c>
      <c r="D554" s="3" t="s">
        <v>145</v>
      </c>
      <c r="E554" s="5">
        <v>946</v>
      </c>
      <c r="H554" s="3" t="s">
        <v>25</v>
      </c>
      <c r="I554" s="5">
        <v>424</v>
      </c>
    </row>
    <row r="555" spans="1:9">
      <c r="A555" s="3" t="s">
        <v>152</v>
      </c>
      <c r="B555" s="4">
        <v>4</v>
      </c>
      <c r="D555" s="3" t="s">
        <v>25</v>
      </c>
      <c r="E555" s="4">
        <v>900</v>
      </c>
      <c r="H555" s="3" t="s">
        <v>125</v>
      </c>
      <c r="I555" s="4">
        <v>417</v>
      </c>
    </row>
    <row r="556" spans="1:9">
      <c r="A556" s="3" t="s">
        <v>145</v>
      </c>
      <c r="B556" s="5">
        <v>424</v>
      </c>
      <c r="D556" s="3"/>
      <c r="E556" s="5"/>
      <c r="H556" s="3"/>
      <c r="I556" s="5"/>
    </row>
    <row r="557" spans="1:9">
      <c r="A557" s="5" t="s">
        <v>4</v>
      </c>
      <c r="B557" s="5">
        <f>B554+B555+B556</f>
        <v>885</v>
      </c>
      <c r="D557" s="5" t="s">
        <v>4</v>
      </c>
      <c r="E557" s="5">
        <f>E554+E555+E556</f>
        <v>1846</v>
      </c>
      <c r="H557" s="5" t="s">
        <v>4</v>
      </c>
      <c r="I557" s="5">
        <f>I554+I555+I556</f>
        <v>841</v>
      </c>
    </row>
    <row r="559" spans="1:9">
      <c r="A559" s="669" t="s">
        <v>0</v>
      </c>
      <c r="B559" s="670"/>
      <c r="D559" s="669" t="s">
        <v>0</v>
      </c>
      <c r="E559" s="670"/>
      <c r="H559" s="669" t="s">
        <v>0</v>
      </c>
      <c r="I559" s="670"/>
    </row>
    <row r="560" spans="1:9">
      <c r="A560" s="185" t="s">
        <v>1</v>
      </c>
      <c r="B560" s="2">
        <v>45619</v>
      </c>
      <c r="D560" s="186" t="s">
        <v>1</v>
      </c>
      <c r="E560" s="2">
        <v>45620</v>
      </c>
      <c r="H560" s="187" t="s">
        <v>1</v>
      </c>
      <c r="I560" s="2">
        <v>45621</v>
      </c>
    </row>
    <row r="561" spans="1:9">
      <c r="A561" s="185" t="s">
        <v>2</v>
      </c>
      <c r="B561" s="185" t="s">
        <v>3</v>
      </c>
      <c r="D561" s="186" t="s">
        <v>2</v>
      </c>
      <c r="E561" s="186" t="s">
        <v>3</v>
      </c>
      <c r="H561" s="187" t="s">
        <v>2</v>
      </c>
      <c r="I561" s="187" t="s">
        <v>3</v>
      </c>
    </row>
    <row r="562" spans="1:9">
      <c r="A562" s="3"/>
      <c r="B562" s="4"/>
      <c r="D562" s="3"/>
      <c r="E562" s="4"/>
      <c r="H562" s="3" t="s">
        <v>153</v>
      </c>
      <c r="I562" s="4">
        <v>134</v>
      </c>
    </row>
    <row r="563" spans="1:9">
      <c r="A563" s="3" t="s">
        <v>118</v>
      </c>
      <c r="B563" s="5">
        <v>783</v>
      </c>
      <c r="D563" s="3" t="s">
        <v>15</v>
      </c>
      <c r="E563" s="5">
        <v>397</v>
      </c>
      <c r="H563" s="3" t="s">
        <v>100</v>
      </c>
      <c r="I563" s="5">
        <v>172</v>
      </c>
    </row>
    <row r="564" spans="1:9">
      <c r="A564" s="3"/>
      <c r="B564" s="4"/>
      <c r="D564" s="3" t="s">
        <v>153</v>
      </c>
      <c r="E564" s="4">
        <v>265</v>
      </c>
      <c r="H564" s="3" t="s">
        <v>25</v>
      </c>
      <c r="I564" s="4">
        <v>490</v>
      </c>
    </row>
    <row r="565" spans="1:9">
      <c r="A565" s="3"/>
      <c r="B565" s="5"/>
      <c r="D565" s="3"/>
      <c r="E565" s="5"/>
      <c r="H565" s="3"/>
      <c r="I565" s="5"/>
    </row>
    <row r="566" spans="1:9">
      <c r="A566" s="5" t="s">
        <v>4</v>
      </c>
      <c r="B566" s="5">
        <f>B563+B564+B565</f>
        <v>783</v>
      </c>
      <c r="D566" s="5" t="s">
        <v>4</v>
      </c>
      <c r="E566" s="5">
        <f>E563+E564</f>
        <v>662</v>
      </c>
      <c r="H566" s="5" t="s">
        <v>4</v>
      </c>
      <c r="I566" s="5">
        <f>I562+I563+I564</f>
        <v>796</v>
      </c>
    </row>
    <row r="568" spans="1:9">
      <c r="A568" s="669" t="s">
        <v>0</v>
      </c>
      <c r="B568" s="670"/>
      <c r="D568" s="669" t="s">
        <v>0</v>
      </c>
      <c r="E568" s="670"/>
      <c r="H568" s="669" t="s">
        <v>0</v>
      </c>
      <c r="I568" s="670"/>
    </row>
    <row r="569" spans="1:9">
      <c r="A569" s="188" t="s">
        <v>1</v>
      </c>
      <c r="B569" s="2">
        <v>45622</v>
      </c>
      <c r="D569" s="188" t="s">
        <v>1</v>
      </c>
      <c r="E569" s="2">
        <v>45623</v>
      </c>
      <c r="H569" s="188" t="s">
        <v>1</v>
      </c>
      <c r="I569" s="2">
        <v>45624</v>
      </c>
    </row>
    <row r="570" spans="1:9">
      <c r="A570" s="188" t="s">
        <v>2</v>
      </c>
      <c r="B570" s="188" t="s">
        <v>3</v>
      </c>
      <c r="D570" s="188" t="s">
        <v>2</v>
      </c>
      <c r="E570" s="188" t="s">
        <v>3</v>
      </c>
      <c r="H570" s="188" t="s">
        <v>2</v>
      </c>
      <c r="I570" s="188" t="s">
        <v>3</v>
      </c>
    </row>
    <row r="571" spans="1:9">
      <c r="A571" s="3"/>
      <c r="B571" s="4"/>
      <c r="D571" s="3"/>
      <c r="E571" s="4"/>
      <c r="H571" s="3"/>
      <c r="I571" s="4"/>
    </row>
    <row r="572" spans="1:9">
      <c r="A572" s="3" t="s">
        <v>153</v>
      </c>
      <c r="B572" s="5">
        <v>134</v>
      </c>
      <c r="D572" s="3" t="s">
        <v>25</v>
      </c>
      <c r="E572" s="5">
        <v>389</v>
      </c>
      <c r="H572" s="369" t="s">
        <v>154</v>
      </c>
      <c r="I572" s="5">
        <v>24</v>
      </c>
    </row>
    <row r="573" spans="1:9">
      <c r="A573" s="3" t="s">
        <v>100</v>
      </c>
      <c r="B573" s="4">
        <v>172</v>
      </c>
      <c r="D573" s="3" t="s">
        <v>20</v>
      </c>
      <c r="E573" s="4">
        <v>639</v>
      </c>
      <c r="H573" s="3" t="s">
        <v>10</v>
      </c>
      <c r="I573" s="4">
        <v>457</v>
      </c>
    </row>
    <row r="574" spans="1:9">
      <c r="A574" s="3" t="s">
        <v>25</v>
      </c>
      <c r="B574" s="5">
        <v>490</v>
      </c>
      <c r="D574" s="3"/>
      <c r="E574" s="5"/>
      <c r="H574" s="3" t="s">
        <v>100</v>
      </c>
      <c r="I574" s="5">
        <v>200</v>
      </c>
    </row>
    <row r="575" spans="1:9">
      <c r="A575" s="5" t="s">
        <v>4</v>
      </c>
      <c r="B575" s="5">
        <f>B572+B573+B574</f>
        <v>796</v>
      </c>
      <c r="D575" s="5" t="s">
        <v>4</v>
      </c>
      <c r="E575" s="5">
        <f>E572+E573</f>
        <v>1028</v>
      </c>
      <c r="H575" s="5" t="s">
        <v>4</v>
      </c>
      <c r="I575" s="5">
        <f>I572+I573+I574</f>
        <v>681</v>
      </c>
    </row>
    <row r="578" spans="1:9">
      <c r="A578" s="669" t="s">
        <v>0</v>
      </c>
      <c r="B578" s="670"/>
      <c r="D578" s="669" t="s">
        <v>0</v>
      </c>
      <c r="E578" s="670"/>
      <c r="H578" s="669" t="s">
        <v>0</v>
      </c>
      <c r="I578" s="670"/>
    </row>
    <row r="579" spans="1:9">
      <c r="A579" s="189" t="s">
        <v>1</v>
      </c>
      <c r="B579" s="2">
        <v>45625</v>
      </c>
      <c r="D579" s="190" t="s">
        <v>1</v>
      </c>
      <c r="E579" s="2">
        <v>45628</v>
      </c>
      <c r="H579" s="191" t="s">
        <v>1</v>
      </c>
      <c r="I579" s="2">
        <v>45629</v>
      </c>
    </row>
    <row r="580" spans="1:9">
      <c r="A580" s="189" t="s">
        <v>2</v>
      </c>
      <c r="B580" s="189" t="s">
        <v>3</v>
      </c>
      <c r="D580" s="190" t="s">
        <v>2</v>
      </c>
      <c r="E580" s="190" t="s">
        <v>3</v>
      </c>
      <c r="H580" s="191" t="s">
        <v>2</v>
      </c>
      <c r="I580" s="191" t="s">
        <v>3</v>
      </c>
    </row>
    <row r="581" spans="1:9">
      <c r="A581" s="3"/>
      <c r="B581" s="4"/>
      <c r="D581" s="3"/>
      <c r="E581" s="4"/>
      <c r="H581" s="3"/>
      <c r="I581" s="4"/>
    </row>
    <row r="582" spans="1:9">
      <c r="A582" s="3"/>
      <c r="B582" s="5"/>
      <c r="D582" s="3" t="s">
        <v>20</v>
      </c>
      <c r="E582" s="5">
        <v>82</v>
      </c>
      <c r="H582" s="3" t="s">
        <v>25</v>
      </c>
      <c r="I582" s="5">
        <v>540</v>
      </c>
    </row>
    <row r="583" spans="1:9">
      <c r="A583" s="3" t="s">
        <v>20</v>
      </c>
      <c r="B583" s="4">
        <v>369</v>
      </c>
      <c r="D583" s="3" t="s">
        <v>155</v>
      </c>
      <c r="E583" s="4">
        <v>358</v>
      </c>
      <c r="H583" s="3" t="s">
        <v>10</v>
      </c>
      <c r="I583" s="4">
        <v>473</v>
      </c>
    </row>
    <row r="584" spans="1:9">
      <c r="A584" s="3"/>
      <c r="B584" s="4"/>
      <c r="D584" s="3"/>
      <c r="E584" s="4"/>
      <c r="H584" s="3" t="s">
        <v>157</v>
      </c>
      <c r="I584" s="4">
        <v>7</v>
      </c>
    </row>
    <row r="585" spans="1:9">
      <c r="A585" s="3"/>
      <c r="B585" s="5"/>
      <c r="D585" s="3" t="s">
        <v>25</v>
      </c>
      <c r="E585" s="5">
        <v>207</v>
      </c>
      <c r="H585" s="3" t="s">
        <v>156</v>
      </c>
      <c r="I585" s="5">
        <v>7</v>
      </c>
    </row>
    <row r="586" spans="1:9">
      <c r="A586" s="5" t="s">
        <v>4</v>
      </c>
      <c r="B586" s="5">
        <f>B581+B582+B583</f>
        <v>369</v>
      </c>
      <c r="D586" s="5" t="s">
        <v>4</v>
      </c>
      <c r="E586" s="5">
        <f>E582+E583+E585</f>
        <v>647</v>
      </c>
      <c r="H586" s="5" t="s">
        <v>4</v>
      </c>
      <c r="I586" s="5">
        <f>I582+I583+I584+I585</f>
        <v>1027</v>
      </c>
    </row>
    <row r="588" spans="1:9" ht="15" customHeight="1">
      <c r="A588" s="669" t="s">
        <v>0</v>
      </c>
      <c r="B588" s="670"/>
      <c r="D588" s="669" t="s">
        <v>0</v>
      </c>
      <c r="E588" s="670"/>
      <c r="H588" s="669" t="s">
        <v>0</v>
      </c>
      <c r="I588" s="670"/>
    </row>
    <row r="589" spans="1:9">
      <c r="A589" s="192" t="s">
        <v>1</v>
      </c>
      <c r="B589" s="2">
        <v>45630</v>
      </c>
      <c r="D589" s="193" t="s">
        <v>1</v>
      </c>
      <c r="E589" s="2">
        <v>45631</v>
      </c>
      <c r="H589" s="193" t="s">
        <v>1</v>
      </c>
      <c r="I589" s="2">
        <v>45632</v>
      </c>
    </row>
    <row r="590" spans="1:9">
      <c r="A590" s="192" t="s">
        <v>2</v>
      </c>
      <c r="B590" s="192" t="s">
        <v>3</v>
      </c>
      <c r="D590" s="193" t="s">
        <v>2</v>
      </c>
      <c r="E590" s="193" t="s">
        <v>3</v>
      </c>
      <c r="H590" s="193" t="s">
        <v>2</v>
      </c>
      <c r="I590" s="193" t="s">
        <v>3</v>
      </c>
    </row>
    <row r="591" spans="1:9">
      <c r="A591" s="3"/>
      <c r="B591" s="4"/>
      <c r="D591" s="3"/>
      <c r="E591" s="4"/>
      <c r="H591" s="3"/>
      <c r="I591" s="4"/>
    </row>
    <row r="592" spans="1:9">
      <c r="A592" s="3" t="s">
        <v>10</v>
      </c>
      <c r="B592" s="5">
        <v>29</v>
      </c>
      <c r="D592" s="3" t="s">
        <v>103</v>
      </c>
      <c r="E592" s="5">
        <v>183</v>
      </c>
      <c r="H592" s="3" t="s">
        <v>8</v>
      </c>
      <c r="I592" s="5">
        <v>165</v>
      </c>
    </row>
    <row r="593" spans="1:9" ht="15" customHeight="1">
      <c r="A593" s="3" t="s">
        <v>145</v>
      </c>
      <c r="B593" s="4">
        <v>869</v>
      </c>
      <c r="D593" s="3" t="s">
        <v>158</v>
      </c>
      <c r="E593" s="4">
        <v>407</v>
      </c>
      <c r="H593" s="3" t="s">
        <v>159</v>
      </c>
      <c r="I593" s="4">
        <v>170</v>
      </c>
    </row>
    <row r="594" spans="1:9">
      <c r="A594" s="3" t="s">
        <v>103</v>
      </c>
      <c r="B594" s="4">
        <v>63</v>
      </c>
      <c r="D594" s="3" t="s">
        <v>8</v>
      </c>
      <c r="E594" s="4">
        <v>235</v>
      </c>
      <c r="H594" s="3" t="s">
        <v>8</v>
      </c>
      <c r="I594" s="4"/>
    </row>
    <row r="595" spans="1:9" ht="15" customHeight="1">
      <c r="A595" s="3"/>
      <c r="B595" s="5"/>
      <c r="D595" s="3"/>
      <c r="E595" s="5"/>
      <c r="H595" s="3"/>
      <c r="I595" s="5"/>
    </row>
    <row r="596" spans="1:9">
      <c r="A596" s="5" t="s">
        <v>4</v>
      </c>
      <c r="B596" s="5">
        <f>B592+B593+B594+B595</f>
        <v>961</v>
      </c>
      <c r="D596" s="5" t="s">
        <v>4</v>
      </c>
      <c r="E596" s="5">
        <f>E592+E593+E594+E595</f>
        <v>825</v>
      </c>
      <c r="H596" s="5" t="s">
        <v>4</v>
      </c>
      <c r="I596" s="5">
        <f>I592+I593+I594+I595</f>
        <v>335</v>
      </c>
    </row>
    <row r="598" spans="1:9">
      <c r="A598" s="669" t="s">
        <v>0</v>
      </c>
      <c r="B598" s="670"/>
      <c r="D598" s="669" t="s">
        <v>0</v>
      </c>
      <c r="E598" s="670"/>
      <c r="H598" s="669" t="s">
        <v>0</v>
      </c>
      <c r="I598" s="670"/>
    </row>
    <row r="599" spans="1:9">
      <c r="A599" s="194" t="s">
        <v>1</v>
      </c>
      <c r="B599" s="2">
        <v>45635</v>
      </c>
      <c r="D599" s="195" t="s">
        <v>1</v>
      </c>
      <c r="E599" s="2">
        <v>45636</v>
      </c>
      <c r="H599" s="196" t="s">
        <v>1</v>
      </c>
      <c r="I599" s="2">
        <v>45637</v>
      </c>
    </row>
    <row r="600" spans="1:9">
      <c r="A600" s="194" t="s">
        <v>2</v>
      </c>
      <c r="B600" s="194" t="s">
        <v>3</v>
      </c>
      <c r="D600" s="195" t="s">
        <v>2</v>
      </c>
      <c r="E600" s="195" t="s">
        <v>3</v>
      </c>
      <c r="H600" s="196" t="s">
        <v>2</v>
      </c>
      <c r="I600" s="196" t="s">
        <v>3</v>
      </c>
    </row>
    <row r="601" spans="1:9">
      <c r="A601" s="3"/>
      <c r="B601" s="4"/>
      <c r="D601" s="3"/>
      <c r="E601" s="4"/>
      <c r="H601" s="3"/>
      <c r="I601" s="4"/>
    </row>
    <row r="602" spans="1:9">
      <c r="A602" s="3"/>
      <c r="B602" s="5"/>
      <c r="D602" s="3"/>
      <c r="E602" s="5"/>
      <c r="H602" s="3"/>
      <c r="I602" s="5"/>
    </row>
    <row r="603" spans="1:9">
      <c r="A603" s="3" t="s">
        <v>159</v>
      </c>
      <c r="B603" s="4">
        <v>871</v>
      </c>
      <c r="D603" s="3" t="s">
        <v>160</v>
      </c>
      <c r="E603" s="4">
        <v>817</v>
      </c>
      <c r="H603" s="3" t="s">
        <v>161</v>
      </c>
      <c r="I603" s="4">
        <v>411</v>
      </c>
    </row>
    <row r="604" spans="1:9">
      <c r="A604" s="3"/>
      <c r="B604" s="4"/>
      <c r="D604" s="3" t="s">
        <v>161</v>
      </c>
      <c r="E604" s="4">
        <v>411</v>
      </c>
      <c r="H604" s="3" t="s">
        <v>160</v>
      </c>
      <c r="I604" s="4">
        <v>920</v>
      </c>
    </row>
    <row r="605" spans="1:9">
      <c r="A605" s="3"/>
      <c r="B605" s="5"/>
      <c r="D605" s="3"/>
      <c r="E605" s="5"/>
      <c r="H605" s="3"/>
      <c r="I605" s="5"/>
    </row>
    <row r="606" spans="1:9">
      <c r="A606" s="5" t="s">
        <v>4</v>
      </c>
      <c r="B606" s="5">
        <f>B602+B603+B604+B605</f>
        <v>871</v>
      </c>
      <c r="D606" s="5" t="s">
        <v>4</v>
      </c>
      <c r="E606" s="5">
        <f>E602+E603+E604+E605</f>
        <v>1228</v>
      </c>
      <c r="H606" s="5" t="s">
        <v>4</v>
      </c>
      <c r="I606" s="5">
        <f>I602+I603+I604+I605</f>
        <v>1331</v>
      </c>
    </row>
    <row r="608" spans="1:9">
      <c r="A608" s="669" t="s">
        <v>0</v>
      </c>
      <c r="B608" s="670"/>
      <c r="D608" s="669" t="s">
        <v>0</v>
      </c>
      <c r="E608" s="670"/>
      <c r="H608" s="669" t="s">
        <v>0</v>
      </c>
      <c r="I608" s="670"/>
    </row>
    <row r="609" spans="1:9">
      <c r="A609" s="197" t="s">
        <v>1</v>
      </c>
      <c r="B609" s="2">
        <v>45638</v>
      </c>
      <c r="D609" s="198" t="s">
        <v>1</v>
      </c>
      <c r="E609" s="2">
        <v>45639</v>
      </c>
      <c r="H609" s="199" t="s">
        <v>1</v>
      </c>
      <c r="I609" s="2">
        <v>45642</v>
      </c>
    </row>
    <row r="610" spans="1:9">
      <c r="A610" s="197" t="s">
        <v>2</v>
      </c>
      <c r="B610" s="197" t="s">
        <v>3</v>
      </c>
      <c r="D610" s="198" t="s">
        <v>2</v>
      </c>
      <c r="E610" s="198" t="s">
        <v>3</v>
      </c>
      <c r="H610" s="199" t="s">
        <v>2</v>
      </c>
      <c r="I610" s="199" t="s">
        <v>3</v>
      </c>
    </row>
    <row r="611" spans="1:9">
      <c r="A611" s="3"/>
      <c r="B611" s="4"/>
      <c r="D611" s="3"/>
      <c r="E611" s="4"/>
      <c r="H611" s="3"/>
      <c r="I611" s="4"/>
    </row>
    <row r="612" spans="1:9">
      <c r="A612" s="3"/>
      <c r="B612" s="5"/>
      <c r="D612" s="3"/>
      <c r="E612" s="5"/>
      <c r="H612" s="3"/>
      <c r="I612" s="5"/>
    </row>
    <row r="613" spans="1:9">
      <c r="A613" s="3" t="s">
        <v>162</v>
      </c>
      <c r="B613" s="4">
        <v>79</v>
      </c>
      <c r="D613" s="3"/>
      <c r="E613" s="4"/>
      <c r="H613" s="3"/>
      <c r="I613" s="4"/>
    </row>
    <row r="614" spans="1:9">
      <c r="A614" s="3" t="s">
        <v>161</v>
      </c>
      <c r="B614" s="4">
        <v>869</v>
      </c>
      <c r="D614" s="3" t="s">
        <v>163</v>
      </c>
      <c r="E614" s="4">
        <v>688</v>
      </c>
      <c r="H614" s="3" t="s">
        <v>164</v>
      </c>
      <c r="I614" s="4">
        <v>680</v>
      </c>
    </row>
    <row r="615" spans="1:9">
      <c r="A615" s="3" t="s">
        <v>163</v>
      </c>
      <c r="B615" s="5">
        <v>112</v>
      </c>
      <c r="D615" s="3"/>
      <c r="E615" s="5"/>
      <c r="H615" s="3"/>
      <c r="I615" s="5"/>
    </row>
    <row r="616" spans="1:9">
      <c r="A616" s="5" t="s">
        <v>4</v>
      </c>
      <c r="B616" s="5">
        <f>B612+B613+B614+B615</f>
        <v>1060</v>
      </c>
      <c r="D616" s="5" t="s">
        <v>4</v>
      </c>
      <c r="E616" s="5">
        <f>E612+E613+E614+E615</f>
        <v>688</v>
      </c>
      <c r="H616" s="5" t="s">
        <v>4</v>
      </c>
      <c r="I616" s="5">
        <v>680</v>
      </c>
    </row>
    <row r="618" spans="1:9">
      <c r="A618" s="669" t="s">
        <v>0</v>
      </c>
      <c r="B618" s="670"/>
      <c r="D618" s="669" t="s">
        <v>0</v>
      </c>
      <c r="E618" s="670"/>
      <c r="H618" s="669" t="s">
        <v>0</v>
      </c>
      <c r="I618" s="670"/>
    </row>
    <row r="619" spans="1:9">
      <c r="A619" s="200" t="s">
        <v>1</v>
      </c>
      <c r="B619" s="2">
        <v>45643</v>
      </c>
      <c r="D619" s="201" t="s">
        <v>1</v>
      </c>
      <c r="E619" s="2">
        <v>45644</v>
      </c>
      <c r="H619" s="201" t="s">
        <v>1</v>
      </c>
      <c r="I619" s="2">
        <v>45645</v>
      </c>
    </row>
    <row r="620" spans="1:9">
      <c r="A620" s="200" t="s">
        <v>2</v>
      </c>
      <c r="B620" s="200" t="s">
        <v>3</v>
      </c>
      <c r="D620" s="201" t="s">
        <v>2</v>
      </c>
      <c r="E620" s="201" t="s">
        <v>3</v>
      </c>
      <c r="H620" s="201" t="s">
        <v>2</v>
      </c>
      <c r="I620" s="201" t="s">
        <v>3</v>
      </c>
    </row>
    <row r="621" spans="1:9">
      <c r="A621" s="3"/>
      <c r="B621" s="4"/>
      <c r="D621" s="3"/>
      <c r="E621" s="4"/>
      <c r="H621" s="3"/>
      <c r="I621" s="4"/>
    </row>
    <row r="622" spans="1:9">
      <c r="A622" s="3"/>
      <c r="B622" s="5"/>
      <c r="D622" s="3"/>
      <c r="E622" s="5"/>
      <c r="H622" s="3"/>
      <c r="I622" s="5"/>
    </row>
    <row r="623" spans="1:9">
      <c r="A623" s="3" t="s">
        <v>164</v>
      </c>
      <c r="B623" s="4">
        <v>120</v>
      </c>
      <c r="D623" s="3" t="s">
        <v>166</v>
      </c>
      <c r="E623" s="4">
        <v>550</v>
      </c>
      <c r="H623" s="3" t="s">
        <v>167</v>
      </c>
      <c r="I623" s="4">
        <v>657</v>
      </c>
    </row>
    <row r="624" spans="1:9">
      <c r="A624" s="3" t="s">
        <v>165</v>
      </c>
      <c r="B624" s="4">
        <v>78</v>
      </c>
      <c r="D624" s="3" t="s">
        <v>167</v>
      </c>
      <c r="E624" s="4">
        <v>112</v>
      </c>
      <c r="H624" s="3" t="s">
        <v>168</v>
      </c>
      <c r="I624" s="4">
        <v>405</v>
      </c>
    </row>
    <row r="625" spans="1:11">
      <c r="A625" s="3" t="s">
        <v>166</v>
      </c>
      <c r="B625" s="5">
        <v>255</v>
      </c>
      <c r="D625" s="3"/>
      <c r="E625" s="5"/>
      <c r="H625" s="3"/>
      <c r="I625" s="5"/>
    </row>
    <row r="626" spans="1:11">
      <c r="A626" s="5" t="s">
        <v>4</v>
      </c>
      <c r="B626" s="5">
        <v>453</v>
      </c>
      <c r="D626" s="5" t="s">
        <v>4</v>
      </c>
      <c r="E626" s="5">
        <v>662</v>
      </c>
      <c r="H626" s="5" t="s">
        <v>4</v>
      </c>
      <c r="I626" s="5">
        <v>1062</v>
      </c>
    </row>
    <row r="628" spans="1:11" ht="15" customHeight="1">
      <c r="A628" s="669" t="s">
        <v>0</v>
      </c>
      <c r="B628" s="670"/>
      <c r="D628" s="669" t="s">
        <v>0</v>
      </c>
      <c r="E628" s="670"/>
      <c r="H628" s="669" t="s">
        <v>0</v>
      </c>
      <c r="I628" s="670"/>
      <c r="K628" s="343"/>
    </row>
    <row r="629" spans="1:11">
      <c r="A629" s="202" t="s">
        <v>1</v>
      </c>
      <c r="B629" s="2">
        <v>45646</v>
      </c>
      <c r="D629" s="203" t="s">
        <v>1</v>
      </c>
      <c r="E629" s="2">
        <v>45649</v>
      </c>
      <c r="H629" s="204" t="s">
        <v>1</v>
      </c>
      <c r="I629" s="2">
        <v>45664</v>
      </c>
      <c r="K629" s="2">
        <v>45665</v>
      </c>
    </row>
    <row r="630" spans="1:11">
      <c r="A630" s="202" t="s">
        <v>2</v>
      </c>
      <c r="B630" s="202" t="s">
        <v>3</v>
      </c>
      <c r="D630" s="203" t="s">
        <v>2</v>
      </c>
      <c r="E630" s="203" t="s">
        <v>3</v>
      </c>
      <c r="H630" s="204" t="s">
        <v>2</v>
      </c>
      <c r="I630" s="204" t="s">
        <v>3</v>
      </c>
      <c r="K630" s="251" t="s">
        <v>3</v>
      </c>
    </row>
    <row r="631" spans="1:11">
      <c r="A631" s="3"/>
      <c r="B631" s="4"/>
      <c r="D631" s="3"/>
      <c r="E631" s="4"/>
      <c r="H631" s="3"/>
      <c r="I631" s="4"/>
      <c r="K631" s="4"/>
    </row>
    <row r="632" spans="1:11">
      <c r="A632" s="3"/>
      <c r="B632" s="5"/>
      <c r="D632" s="3"/>
      <c r="E632" s="5"/>
      <c r="H632" s="3"/>
      <c r="I632" s="5"/>
      <c r="K632" s="5"/>
    </row>
    <row r="633" spans="1:11">
      <c r="A633" s="3"/>
      <c r="B633" s="4"/>
      <c r="D633" s="3" t="s">
        <v>169</v>
      </c>
      <c r="E633" s="4">
        <v>228</v>
      </c>
      <c r="H633" s="3"/>
      <c r="I633" s="4"/>
      <c r="K633" s="4"/>
    </row>
    <row r="634" spans="1:11">
      <c r="A634" s="3" t="s">
        <v>168</v>
      </c>
      <c r="B634" s="4">
        <v>306</v>
      </c>
      <c r="D634" s="3" t="s">
        <v>170</v>
      </c>
      <c r="E634" s="4">
        <v>232</v>
      </c>
      <c r="F634" s="4"/>
      <c r="G634" s="4"/>
      <c r="H634" s="3" t="s">
        <v>136</v>
      </c>
      <c r="I634" s="4">
        <v>206</v>
      </c>
      <c r="K634" s="4">
        <v>994</v>
      </c>
    </row>
    <row r="635" spans="1:11">
      <c r="A635" s="3" t="s">
        <v>5</v>
      </c>
      <c r="B635" s="5">
        <v>431</v>
      </c>
      <c r="D635" s="3"/>
      <c r="E635" s="5"/>
      <c r="H635" s="3"/>
      <c r="I635" s="5"/>
      <c r="K635" s="5"/>
    </row>
    <row r="636" spans="1:11">
      <c r="A636" s="5" t="s">
        <v>4</v>
      </c>
      <c r="B636" s="5">
        <v>737</v>
      </c>
      <c r="D636" s="5" t="s">
        <v>4</v>
      </c>
      <c r="E636" s="5">
        <v>460</v>
      </c>
      <c r="H636" s="5" t="s">
        <v>4</v>
      </c>
      <c r="I636" s="5">
        <v>206</v>
      </c>
      <c r="K636" s="5">
        <v>994</v>
      </c>
    </row>
    <row r="638" spans="1:11">
      <c r="A638" s="669" t="s">
        <v>0</v>
      </c>
      <c r="B638" s="670"/>
      <c r="D638" s="669" t="s">
        <v>0</v>
      </c>
      <c r="E638" s="670"/>
      <c r="H638" s="669" t="s">
        <v>0</v>
      </c>
      <c r="I638" s="670"/>
    </row>
    <row r="639" spans="1:11">
      <c r="A639" s="205" t="s">
        <v>1</v>
      </c>
      <c r="B639" s="2">
        <v>45665</v>
      </c>
      <c r="D639" s="205" t="s">
        <v>1</v>
      </c>
      <c r="E639" s="2">
        <v>45666</v>
      </c>
      <c r="H639" s="206" t="s">
        <v>1</v>
      </c>
      <c r="I639" s="2">
        <v>45667</v>
      </c>
    </row>
    <row r="640" spans="1:11">
      <c r="A640" s="205" t="s">
        <v>2</v>
      </c>
      <c r="B640" s="205" t="s">
        <v>3</v>
      </c>
      <c r="D640" s="205" t="s">
        <v>2</v>
      </c>
      <c r="E640" s="205" t="s">
        <v>3</v>
      </c>
      <c r="F640" s="206"/>
      <c r="G640" s="311"/>
      <c r="H640" s="206" t="s">
        <v>2</v>
      </c>
      <c r="I640" s="206" t="s">
        <v>3</v>
      </c>
    </row>
    <row r="641" spans="1:9">
      <c r="A641" s="3"/>
      <c r="B641" s="4"/>
      <c r="D641" s="3"/>
      <c r="E641" s="4"/>
      <c r="H641" s="3"/>
      <c r="I641" s="4"/>
    </row>
    <row r="642" spans="1:9">
      <c r="A642" s="3"/>
      <c r="B642" s="5"/>
      <c r="D642" s="3"/>
      <c r="E642" s="5"/>
      <c r="H642" s="3"/>
      <c r="I642" s="5"/>
    </row>
    <row r="643" spans="1:9">
      <c r="A643" s="3"/>
      <c r="B643" s="4"/>
      <c r="D643" s="3"/>
      <c r="E643" s="4"/>
      <c r="H643" s="3"/>
      <c r="I643" s="4"/>
    </row>
    <row r="644" spans="1:9">
      <c r="A644" s="3" t="s">
        <v>136</v>
      </c>
      <c r="B644" s="4">
        <v>994</v>
      </c>
      <c r="D644" s="3" t="s">
        <v>171</v>
      </c>
      <c r="E644" s="4">
        <v>158</v>
      </c>
      <c r="H644" s="3" t="s">
        <v>171</v>
      </c>
      <c r="I644" s="4">
        <v>130</v>
      </c>
    </row>
    <row r="645" spans="1:9">
      <c r="A645" s="3"/>
      <c r="B645" s="5"/>
      <c r="D645" s="3" t="s">
        <v>172</v>
      </c>
      <c r="E645" s="5">
        <v>351</v>
      </c>
      <c r="H645" s="3" t="s">
        <v>172</v>
      </c>
      <c r="I645" s="5">
        <v>603</v>
      </c>
    </row>
    <row r="646" spans="1:9">
      <c r="A646" s="5" t="s">
        <v>4</v>
      </c>
      <c r="B646" s="5">
        <v>994</v>
      </c>
      <c r="D646" s="5" t="s">
        <v>4</v>
      </c>
      <c r="E646" s="5">
        <v>509</v>
      </c>
      <c r="H646" s="5" t="s">
        <v>4</v>
      </c>
      <c r="I646" s="5">
        <v>733</v>
      </c>
    </row>
    <row r="648" spans="1:9">
      <c r="A648" s="669" t="s">
        <v>0</v>
      </c>
      <c r="B648" s="670"/>
      <c r="D648" s="669" t="s">
        <v>0</v>
      </c>
      <c r="E648" s="670"/>
      <c r="H648" s="669" t="s">
        <v>0</v>
      </c>
      <c r="I648" s="670"/>
    </row>
    <row r="649" spans="1:9">
      <c r="A649" s="207" t="s">
        <v>1</v>
      </c>
      <c r="B649" s="2">
        <v>45670</v>
      </c>
      <c r="D649" s="208" t="s">
        <v>1</v>
      </c>
      <c r="E649" s="2">
        <v>45671</v>
      </c>
      <c r="H649" s="209" t="s">
        <v>1</v>
      </c>
      <c r="I649" s="2">
        <v>45672</v>
      </c>
    </row>
    <row r="650" spans="1:9">
      <c r="A650" s="207" t="s">
        <v>2</v>
      </c>
      <c r="B650" s="207" t="s">
        <v>3</v>
      </c>
      <c r="D650" s="208" t="s">
        <v>2</v>
      </c>
      <c r="E650" s="208" t="s">
        <v>3</v>
      </c>
      <c r="H650" s="209" t="s">
        <v>2</v>
      </c>
      <c r="I650" s="209" t="s">
        <v>3</v>
      </c>
    </row>
    <row r="651" spans="1:9">
      <c r="A651" s="3"/>
      <c r="B651" s="4"/>
      <c r="D651" s="3"/>
      <c r="E651" s="4"/>
      <c r="H651" s="3"/>
      <c r="I651" s="4"/>
    </row>
    <row r="652" spans="1:9">
      <c r="A652" s="3" t="s">
        <v>173</v>
      </c>
      <c r="B652" s="5">
        <v>500</v>
      </c>
      <c r="D652" s="3"/>
      <c r="E652" s="5"/>
      <c r="H652" s="3"/>
      <c r="I652" s="5"/>
    </row>
    <row r="653" spans="1:9">
      <c r="A653" s="3" t="s">
        <v>174</v>
      </c>
      <c r="B653" s="4">
        <v>177</v>
      </c>
      <c r="D653" s="3" t="s">
        <v>174</v>
      </c>
      <c r="E653" s="3">
        <v>686</v>
      </c>
      <c r="H653" s="3" t="s">
        <v>5</v>
      </c>
      <c r="I653" s="3">
        <v>318</v>
      </c>
    </row>
    <row r="654" spans="1:9">
      <c r="A654" s="3"/>
      <c r="B654" s="4"/>
      <c r="D654" s="3" t="s">
        <v>5</v>
      </c>
      <c r="E654" s="4">
        <v>82</v>
      </c>
      <c r="H654" s="3" t="s">
        <v>6</v>
      </c>
      <c r="I654" s="4">
        <v>370</v>
      </c>
    </row>
    <row r="655" spans="1:9">
      <c r="A655" s="3" t="s">
        <v>45</v>
      </c>
      <c r="B655" s="5"/>
      <c r="D655" s="3" t="s">
        <v>45</v>
      </c>
      <c r="E655" s="5"/>
      <c r="H655" s="3" t="s">
        <v>45</v>
      </c>
      <c r="I655" s="5"/>
    </row>
    <row r="656" spans="1:9">
      <c r="A656" s="5" t="s">
        <v>4</v>
      </c>
      <c r="B656" s="5">
        <v>677</v>
      </c>
      <c r="D656" s="5" t="s">
        <v>4</v>
      </c>
      <c r="E656" s="5">
        <v>768</v>
      </c>
      <c r="H656" s="5" t="s">
        <v>4</v>
      </c>
      <c r="I656" s="5">
        <v>688</v>
      </c>
    </row>
    <row r="658" spans="1:9">
      <c r="A658" s="669" t="s">
        <v>0</v>
      </c>
      <c r="B658" s="670"/>
      <c r="D658" s="669" t="s">
        <v>0</v>
      </c>
      <c r="E658" s="670"/>
      <c r="H658" s="669" t="s">
        <v>0</v>
      </c>
      <c r="I658" s="670"/>
    </row>
    <row r="659" spans="1:9">
      <c r="A659" s="210" t="s">
        <v>1</v>
      </c>
      <c r="B659" s="2">
        <v>45673</v>
      </c>
      <c r="D659" s="211" t="s">
        <v>1</v>
      </c>
      <c r="E659" s="2">
        <v>45674</v>
      </c>
      <c r="H659" s="212" t="s">
        <v>1</v>
      </c>
      <c r="I659" s="2">
        <v>45675</v>
      </c>
    </row>
    <row r="660" spans="1:9">
      <c r="A660" s="210" t="s">
        <v>2</v>
      </c>
      <c r="B660" s="210" t="s">
        <v>3</v>
      </c>
      <c r="D660" s="211" t="s">
        <v>2</v>
      </c>
      <c r="E660" s="211" t="s">
        <v>3</v>
      </c>
      <c r="H660" s="212" t="s">
        <v>2</v>
      </c>
      <c r="I660" s="212" t="s">
        <v>3</v>
      </c>
    </row>
    <row r="661" spans="1:9">
      <c r="A661" s="3"/>
      <c r="B661" s="4"/>
      <c r="D661" s="3"/>
      <c r="E661" s="4"/>
      <c r="H661" s="3"/>
      <c r="I661" s="4"/>
    </row>
    <row r="662" spans="1:9">
      <c r="A662" s="3"/>
      <c r="B662" s="5"/>
      <c r="D662" s="3"/>
      <c r="E662" s="5"/>
      <c r="H662" s="3"/>
      <c r="I662" s="5"/>
    </row>
    <row r="663" spans="1:9">
      <c r="A663" s="3"/>
      <c r="B663" s="3"/>
      <c r="D663" s="3"/>
      <c r="E663" s="3"/>
      <c r="H663" s="3"/>
      <c r="I663" s="3"/>
    </row>
    <row r="664" spans="1:9">
      <c r="A664" s="3" t="s">
        <v>6</v>
      </c>
      <c r="B664" s="4">
        <v>230</v>
      </c>
      <c r="D664" s="3" t="s">
        <v>176</v>
      </c>
      <c r="E664" s="4">
        <v>500</v>
      </c>
      <c r="H664" s="3" t="s">
        <v>177</v>
      </c>
      <c r="I664" s="4">
        <v>329</v>
      </c>
    </row>
    <row r="665" spans="1:9">
      <c r="A665" s="3" t="s">
        <v>175</v>
      </c>
      <c r="B665" s="5">
        <v>402</v>
      </c>
      <c r="D665" s="3" t="s">
        <v>177</v>
      </c>
      <c r="E665" s="5">
        <v>428</v>
      </c>
      <c r="H665" s="3"/>
      <c r="I665" s="5"/>
    </row>
    <row r="666" spans="1:9">
      <c r="A666" s="5" t="s">
        <v>4</v>
      </c>
      <c r="B666" s="5">
        <v>632</v>
      </c>
      <c r="D666" s="5" t="s">
        <v>4</v>
      </c>
      <c r="E666" s="5">
        <v>928</v>
      </c>
      <c r="H666" s="5" t="s">
        <v>4</v>
      </c>
      <c r="I666" s="5">
        <v>329</v>
      </c>
    </row>
    <row r="668" spans="1:9">
      <c r="A668" s="669" t="s">
        <v>0</v>
      </c>
      <c r="B668" s="670"/>
      <c r="D668" s="669" t="s">
        <v>0</v>
      </c>
      <c r="E668" s="670"/>
      <c r="H668" s="669" t="s">
        <v>0</v>
      </c>
      <c r="I668" s="670"/>
    </row>
    <row r="669" spans="1:9">
      <c r="A669" s="213" t="s">
        <v>1</v>
      </c>
      <c r="B669" s="2">
        <v>45678</v>
      </c>
      <c r="D669" s="214" t="s">
        <v>1</v>
      </c>
      <c r="E669" s="2">
        <v>45679</v>
      </c>
      <c r="H669" s="214" t="s">
        <v>1</v>
      </c>
      <c r="I669" s="2">
        <v>45680</v>
      </c>
    </row>
    <row r="670" spans="1:9">
      <c r="A670" s="213" t="s">
        <v>2</v>
      </c>
      <c r="B670" s="213" t="s">
        <v>3</v>
      </c>
      <c r="D670" s="214" t="s">
        <v>2</v>
      </c>
      <c r="E670" s="214" t="s">
        <v>3</v>
      </c>
      <c r="H670" s="214" t="s">
        <v>2</v>
      </c>
      <c r="I670" s="214" t="s">
        <v>3</v>
      </c>
    </row>
    <row r="671" spans="1:9">
      <c r="A671" s="3"/>
      <c r="B671" s="4"/>
      <c r="D671" s="3"/>
      <c r="E671" s="4"/>
      <c r="H671" s="3"/>
      <c r="I671" s="4"/>
    </row>
    <row r="672" spans="1:9">
      <c r="A672" s="3"/>
      <c r="B672" s="5"/>
      <c r="D672" s="3"/>
      <c r="E672" s="5"/>
      <c r="H672" s="3"/>
      <c r="I672" s="5"/>
    </row>
    <row r="673" spans="1:9">
      <c r="A673" s="3"/>
      <c r="B673" s="3"/>
      <c r="D673" s="3"/>
      <c r="E673" s="3"/>
      <c r="H673" s="3"/>
      <c r="I673" s="3"/>
    </row>
    <row r="674" spans="1:9">
      <c r="A674" s="3" t="s">
        <v>178</v>
      </c>
      <c r="B674" s="4">
        <v>931</v>
      </c>
      <c r="D674" s="3" t="s">
        <v>178</v>
      </c>
      <c r="E674" s="4">
        <v>931</v>
      </c>
      <c r="H674" s="3" t="s">
        <v>179</v>
      </c>
      <c r="I674" s="4">
        <v>224</v>
      </c>
    </row>
    <row r="675" spans="1:9">
      <c r="A675" s="3"/>
      <c r="B675" s="5"/>
      <c r="D675" s="3"/>
      <c r="E675" s="5"/>
      <c r="H675" s="3" t="s">
        <v>180</v>
      </c>
      <c r="I675" s="5">
        <v>328</v>
      </c>
    </row>
    <row r="676" spans="1:9">
      <c r="A676" s="5" t="s">
        <v>4</v>
      </c>
      <c r="B676" s="5">
        <v>931</v>
      </c>
      <c r="D676" s="5" t="s">
        <v>4</v>
      </c>
      <c r="E676" s="5">
        <v>931</v>
      </c>
      <c r="H676" s="5" t="s">
        <v>4</v>
      </c>
      <c r="I676" s="5">
        <v>552</v>
      </c>
    </row>
    <row r="678" spans="1:9">
      <c r="D678" s="669" t="s">
        <v>0</v>
      </c>
      <c r="E678" s="670"/>
      <c r="H678" s="669" t="s">
        <v>0</v>
      </c>
      <c r="I678" s="670"/>
    </row>
    <row r="679" spans="1:9">
      <c r="D679" s="215" t="s">
        <v>1</v>
      </c>
      <c r="E679" s="2">
        <v>45685</v>
      </c>
      <c r="H679" s="216" t="s">
        <v>1</v>
      </c>
      <c r="I679" s="2">
        <v>45686</v>
      </c>
    </row>
    <row r="680" spans="1:9">
      <c r="D680" s="215" t="s">
        <v>2</v>
      </c>
      <c r="E680" s="215" t="s">
        <v>3</v>
      </c>
      <c r="H680" s="216" t="s">
        <v>2</v>
      </c>
      <c r="I680" s="216" t="s">
        <v>3</v>
      </c>
    </row>
    <row r="681" spans="1:9">
      <c r="D681" s="3" t="s">
        <v>39</v>
      </c>
      <c r="E681" s="4">
        <v>391</v>
      </c>
      <c r="H681" s="4" t="s">
        <v>31</v>
      </c>
      <c r="I681" s="4">
        <v>56</v>
      </c>
    </row>
    <row r="682" spans="1:9">
      <c r="D682" s="3" t="s">
        <v>31</v>
      </c>
      <c r="E682" s="5">
        <v>1144</v>
      </c>
      <c r="H682" s="3" t="s">
        <v>181</v>
      </c>
      <c r="I682" s="4">
        <v>1200</v>
      </c>
    </row>
    <row r="683" spans="1:9">
      <c r="D683" s="217" t="s">
        <v>4</v>
      </c>
      <c r="E683" s="217">
        <f>SUM(E681:E682)</f>
        <v>1535</v>
      </c>
      <c r="H683" s="3" t="s">
        <v>30</v>
      </c>
      <c r="I683" s="5">
        <v>170</v>
      </c>
    </row>
    <row r="684" spans="1:9">
      <c r="H684" s="217" t="s">
        <v>4</v>
      </c>
      <c r="I684" s="217">
        <f>SUM(I681:I683)</f>
        <v>1426</v>
      </c>
    </row>
    <row r="686" spans="1:9">
      <c r="D686" s="669" t="s">
        <v>0</v>
      </c>
      <c r="E686" s="670"/>
      <c r="H686" s="669" t="s">
        <v>0</v>
      </c>
      <c r="I686" s="670"/>
    </row>
    <row r="687" spans="1:9">
      <c r="D687" s="218" t="s">
        <v>1</v>
      </c>
      <c r="E687" s="2">
        <v>45687</v>
      </c>
      <c r="H687" s="219" t="s">
        <v>1</v>
      </c>
      <c r="I687" s="2">
        <v>45688</v>
      </c>
    </row>
    <row r="688" spans="1:9">
      <c r="D688" s="218" t="s">
        <v>2</v>
      </c>
      <c r="E688" s="218" t="s">
        <v>3</v>
      </c>
      <c r="H688" s="219" t="s">
        <v>2</v>
      </c>
      <c r="I688" s="219" t="s">
        <v>3</v>
      </c>
    </row>
    <row r="689" spans="4:9">
      <c r="D689" s="3" t="s">
        <v>30</v>
      </c>
      <c r="E689" s="4">
        <v>817</v>
      </c>
      <c r="H689" s="3" t="s">
        <v>220</v>
      </c>
      <c r="I689" s="4">
        <v>800</v>
      </c>
    </row>
    <row r="690" spans="4:9">
      <c r="D690" s="217" t="s">
        <v>4</v>
      </c>
      <c r="E690" s="217">
        <f>SUM(E689:E689)</f>
        <v>817</v>
      </c>
      <c r="H690" s="3" t="s">
        <v>30</v>
      </c>
      <c r="I690" s="4">
        <v>86</v>
      </c>
    </row>
    <row r="691" spans="4:9">
      <c r="H691" s="217" t="s">
        <v>4</v>
      </c>
      <c r="I691" s="217">
        <f>SUM(I689:I690)</f>
        <v>886</v>
      </c>
    </row>
    <row r="692" spans="4:9">
      <c r="D692" s="669" t="s">
        <v>0</v>
      </c>
      <c r="E692" s="670"/>
    </row>
    <row r="693" spans="4:9">
      <c r="D693" s="220" t="s">
        <v>1</v>
      </c>
      <c r="E693" s="2">
        <v>45691</v>
      </c>
      <c r="H693" s="673" t="s">
        <v>188</v>
      </c>
      <c r="I693" s="674"/>
    </row>
    <row r="694" spans="4:9">
      <c r="D694" s="220" t="s">
        <v>2</v>
      </c>
      <c r="E694" s="220" t="s">
        <v>3</v>
      </c>
      <c r="H694" s="221" t="s">
        <v>1</v>
      </c>
      <c r="I694" s="223" t="s">
        <v>187</v>
      </c>
    </row>
    <row r="695" spans="4:9">
      <c r="D695" s="3" t="s">
        <v>30</v>
      </c>
      <c r="E695" s="4">
        <v>127</v>
      </c>
      <c r="H695" s="221" t="s">
        <v>183</v>
      </c>
      <c r="I695" s="221" t="s">
        <v>184</v>
      </c>
    </row>
    <row r="696" spans="4:9">
      <c r="D696" s="3" t="s">
        <v>182</v>
      </c>
      <c r="E696" s="3">
        <v>217</v>
      </c>
      <c r="H696" s="3" t="s">
        <v>185</v>
      </c>
      <c r="I696" s="3">
        <v>33</v>
      </c>
    </row>
    <row r="697" spans="4:9">
      <c r="D697" s="217" t="s">
        <v>4</v>
      </c>
      <c r="E697" s="217">
        <f>SUM(E695:E696)</f>
        <v>344</v>
      </c>
      <c r="H697" s="3" t="s">
        <v>45</v>
      </c>
      <c r="I697" s="3">
        <v>34</v>
      </c>
    </row>
    <row r="698" spans="4:9">
      <c r="H698" s="3" t="s">
        <v>186</v>
      </c>
      <c r="I698" s="3">
        <f>19+14</f>
        <v>33</v>
      </c>
    </row>
    <row r="699" spans="4:9">
      <c r="D699" s="669" t="s">
        <v>0</v>
      </c>
      <c r="E699" s="670"/>
      <c r="H699" s="3"/>
      <c r="I699" s="3"/>
    </row>
    <row r="700" spans="4:9">
      <c r="D700" s="222" t="s">
        <v>1</v>
      </c>
      <c r="E700" s="2">
        <v>45692</v>
      </c>
      <c r="H700" s="221" t="s">
        <v>4</v>
      </c>
      <c r="I700" s="221">
        <f>SUM(I696:I698)</f>
        <v>100</v>
      </c>
    </row>
    <row r="701" spans="4:9">
      <c r="D701" s="222" t="s">
        <v>2</v>
      </c>
      <c r="E701" s="222" t="s">
        <v>3</v>
      </c>
    </row>
    <row r="702" spans="4:9">
      <c r="D702" s="3" t="s">
        <v>182</v>
      </c>
      <c r="E702" s="4">
        <v>345</v>
      </c>
      <c r="H702" s="669" t="s">
        <v>0</v>
      </c>
      <c r="I702" s="670"/>
    </row>
    <row r="703" spans="4:9">
      <c r="D703" s="3" t="s">
        <v>90</v>
      </c>
      <c r="E703" s="3">
        <v>13</v>
      </c>
      <c r="H703" s="224" t="s">
        <v>1</v>
      </c>
      <c r="I703" s="2">
        <v>45693</v>
      </c>
    </row>
    <row r="704" spans="4:9">
      <c r="D704" s="217" t="s">
        <v>4</v>
      </c>
      <c r="E704" s="217">
        <f>SUM(E702:E703)</f>
        <v>358</v>
      </c>
      <c r="H704" s="224" t="s">
        <v>2</v>
      </c>
      <c r="I704" s="224" t="s">
        <v>3</v>
      </c>
    </row>
    <row r="705" spans="4:9">
      <c r="H705" s="3" t="s">
        <v>90</v>
      </c>
      <c r="I705" s="4">
        <v>558</v>
      </c>
    </row>
    <row r="706" spans="4:9">
      <c r="D706" s="669" t="s">
        <v>0</v>
      </c>
      <c r="E706" s="670"/>
      <c r="H706" s="3" t="s">
        <v>189</v>
      </c>
      <c r="I706" s="3">
        <v>238</v>
      </c>
    </row>
    <row r="707" spans="4:9">
      <c r="D707" s="225" t="s">
        <v>1</v>
      </c>
      <c r="E707" s="2">
        <v>45694</v>
      </c>
      <c r="H707" s="217" t="s">
        <v>4</v>
      </c>
      <c r="I707" s="217">
        <f>SUM(I705:I706)</f>
        <v>796</v>
      </c>
    </row>
    <row r="708" spans="4:9">
      <c r="D708" s="225" t="s">
        <v>2</v>
      </c>
      <c r="E708" s="225" t="s">
        <v>3</v>
      </c>
    </row>
    <row r="709" spans="4:9">
      <c r="D709" s="3" t="s">
        <v>15</v>
      </c>
      <c r="E709" s="4">
        <v>400</v>
      </c>
    </row>
    <row r="710" spans="4:9">
      <c r="D710" s="3" t="s">
        <v>190</v>
      </c>
      <c r="E710" s="3">
        <v>272</v>
      </c>
      <c r="H710" s="669" t="s">
        <v>0</v>
      </c>
      <c r="I710" s="670"/>
    </row>
    <row r="711" spans="4:9">
      <c r="D711" s="217" t="s">
        <v>4</v>
      </c>
      <c r="E711" s="217">
        <f>SUM(E709:E710)</f>
        <v>672</v>
      </c>
      <c r="H711" s="226" t="s">
        <v>1</v>
      </c>
      <c r="I711" s="2">
        <v>45698</v>
      </c>
    </row>
    <row r="712" spans="4:9">
      <c r="H712" s="226" t="s">
        <v>2</v>
      </c>
      <c r="I712" s="226" t="s">
        <v>3</v>
      </c>
    </row>
    <row r="713" spans="4:9">
      <c r="D713" s="669" t="s">
        <v>0</v>
      </c>
      <c r="E713" s="670"/>
      <c r="H713" s="3" t="s">
        <v>10</v>
      </c>
      <c r="I713" s="4">
        <v>308</v>
      </c>
    </row>
    <row r="714" spans="4:9">
      <c r="D714" s="227" t="s">
        <v>1</v>
      </c>
      <c r="E714" s="2">
        <v>45701</v>
      </c>
      <c r="H714" s="3" t="s">
        <v>191</v>
      </c>
      <c r="I714" s="4">
        <v>158</v>
      </c>
    </row>
    <row r="715" spans="4:9">
      <c r="D715" s="227" t="s">
        <v>2</v>
      </c>
      <c r="E715" s="227" t="s">
        <v>3</v>
      </c>
      <c r="H715" s="3" t="s">
        <v>192</v>
      </c>
      <c r="I715" s="3">
        <v>199</v>
      </c>
    </row>
    <row r="716" spans="4:9">
      <c r="D716" s="3" t="s">
        <v>34</v>
      </c>
      <c r="E716" s="4">
        <v>489</v>
      </c>
      <c r="H716" s="217" t="s">
        <v>4</v>
      </c>
      <c r="I716" s="217">
        <f>SUM(I713:I715)</f>
        <v>665</v>
      </c>
    </row>
    <row r="717" spans="4:9">
      <c r="D717" s="3" t="s">
        <v>20</v>
      </c>
      <c r="E717" s="4">
        <v>402</v>
      </c>
    </row>
    <row r="718" spans="4:9">
      <c r="D718" s="217" t="s">
        <v>4</v>
      </c>
      <c r="E718" s="217">
        <f>SUM(E716:E717)</f>
        <v>891</v>
      </c>
      <c r="H718" s="669" t="s">
        <v>0</v>
      </c>
      <c r="I718" s="670"/>
    </row>
    <row r="719" spans="4:9">
      <c r="H719" s="229" t="s">
        <v>1</v>
      </c>
      <c r="I719" s="2">
        <v>45703</v>
      </c>
    </row>
    <row r="720" spans="4:9">
      <c r="D720" s="669" t="s">
        <v>0</v>
      </c>
      <c r="E720" s="670"/>
      <c r="H720" s="229" t="s">
        <v>2</v>
      </c>
      <c r="I720" s="229" t="s">
        <v>3</v>
      </c>
    </row>
    <row r="721" spans="4:9">
      <c r="D721" s="228" t="s">
        <v>1</v>
      </c>
      <c r="E721" s="2">
        <v>45702</v>
      </c>
      <c r="H721" s="3" t="s">
        <v>158</v>
      </c>
      <c r="I721" s="4">
        <v>800</v>
      </c>
    </row>
    <row r="722" spans="4:9">
      <c r="D722" s="228" t="s">
        <v>2</v>
      </c>
      <c r="E722" s="228" t="s">
        <v>3</v>
      </c>
      <c r="H722" s="217" t="s">
        <v>4</v>
      </c>
      <c r="I722" s="217">
        <f>SUM(I721:I721)</f>
        <v>800</v>
      </c>
    </row>
    <row r="723" spans="4:9">
      <c r="D723" s="3" t="s">
        <v>20</v>
      </c>
      <c r="E723" s="4">
        <v>798</v>
      </c>
    </row>
    <row r="724" spans="4:9">
      <c r="D724" s="217" t="s">
        <v>4</v>
      </c>
      <c r="E724" s="217">
        <f>SUM(E723:E723)</f>
        <v>798</v>
      </c>
      <c r="H724" s="669" t="s">
        <v>0</v>
      </c>
      <c r="I724" s="670"/>
    </row>
    <row r="725" spans="4:9">
      <c r="H725" s="231" t="s">
        <v>1</v>
      </c>
      <c r="I725" s="2">
        <v>45706</v>
      </c>
    </row>
    <row r="726" spans="4:9">
      <c r="D726" s="669" t="s">
        <v>0</v>
      </c>
      <c r="E726" s="670"/>
      <c r="H726" s="231" t="s">
        <v>2</v>
      </c>
      <c r="I726" s="231" t="s">
        <v>3</v>
      </c>
    </row>
    <row r="727" spans="4:9">
      <c r="D727" s="230" t="s">
        <v>1</v>
      </c>
      <c r="E727" s="2">
        <v>45705</v>
      </c>
      <c r="H727" s="3" t="s">
        <v>193</v>
      </c>
      <c r="I727" s="4">
        <v>879</v>
      </c>
    </row>
    <row r="728" spans="4:9">
      <c r="D728" s="230" t="s">
        <v>2</v>
      </c>
      <c r="E728" s="230" t="s">
        <v>3</v>
      </c>
      <c r="H728" s="3" t="s">
        <v>194</v>
      </c>
      <c r="I728" s="4">
        <v>856</v>
      </c>
    </row>
    <row r="729" spans="4:9">
      <c r="D729" s="3" t="s">
        <v>30</v>
      </c>
      <c r="E729" s="4">
        <v>800</v>
      </c>
      <c r="H729" s="217" t="s">
        <v>4</v>
      </c>
      <c r="I729" s="217">
        <f>SUM(I727:I728)</f>
        <v>1735</v>
      </c>
    </row>
    <row r="730" spans="4:9">
      <c r="D730" s="217" t="s">
        <v>4</v>
      </c>
      <c r="E730" s="217">
        <f>SUM(E729:E729)</f>
        <v>800</v>
      </c>
    </row>
    <row r="731" spans="4:9">
      <c r="H731" s="669" t="s">
        <v>0</v>
      </c>
      <c r="I731" s="670"/>
    </row>
    <row r="732" spans="4:9">
      <c r="H732" s="232" t="s">
        <v>1</v>
      </c>
      <c r="I732" s="2">
        <v>45708</v>
      </c>
    </row>
    <row r="733" spans="4:9">
      <c r="D733" s="677" t="s">
        <v>0</v>
      </c>
      <c r="E733" s="678"/>
      <c r="H733" s="232" t="s">
        <v>2</v>
      </c>
      <c r="I733" s="232" t="s">
        <v>3</v>
      </c>
    </row>
    <row r="734" spans="4:9">
      <c r="D734" s="3" t="s">
        <v>1</v>
      </c>
      <c r="E734" s="2">
        <v>45707</v>
      </c>
      <c r="H734" s="3" t="s">
        <v>6</v>
      </c>
      <c r="I734" s="4">
        <v>750</v>
      </c>
    </row>
    <row r="735" spans="4:9">
      <c r="D735" s="3" t="s">
        <v>2</v>
      </c>
      <c r="E735" s="3" t="s">
        <v>3</v>
      </c>
      <c r="H735" s="217" t="s">
        <v>4</v>
      </c>
      <c r="I735" s="217">
        <f>SUM(I734:I734)</f>
        <v>750</v>
      </c>
    </row>
    <row r="736" spans="4:9">
      <c r="D736" s="3" t="s">
        <v>195</v>
      </c>
      <c r="E736" s="3">
        <v>925</v>
      </c>
    </row>
    <row r="737" spans="4:9">
      <c r="D737" s="3" t="s">
        <v>196</v>
      </c>
      <c r="E737" s="3">
        <v>33</v>
      </c>
      <c r="H737" s="669" t="s">
        <v>0</v>
      </c>
      <c r="I737" s="670"/>
    </row>
    <row r="738" spans="4:9">
      <c r="D738" s="3" t="s">
        <v>197</v>
      </c>
      <c r="E738" s="3">
        <v>33</v>
      </c>
      <c r="H738" s="233" t="s">
        <v>1</v>
      </c>
      <c r="I738" s="2">
        <v>45709</v>
      </c>
    </row>
    <row r="739" spans="4:9">
      <c r="D739" s="3" t="s">
        <v>198</v>
      </c>
      <c r="E739" s="3">
        <v>552</v>
      </c>
      <c r="H739" s="233" t="s">
        <v>2</v>
      </c>
      <c r="I739" s="233" t="s">
        <v>3</v>
      </c>
    </row>
    <row r="740" spans="4:9">
      <c r="D740" s="3" t="s">
        <v>4</v>
      </c>
      <c r="E740" s="3">
        <v>1543</v>
      </c>
      <c r="H740" s="4" t="s">
        <v>6</v>
      </c>
      <c r="I740" s="4">
        <v>165</v>
      </c>
    </row>
    <row r="741" spans="4:9">
      <c r="H741" s="3" t="s">
        <v>192</v>
      </c>
      <c r="I741" s="4">
        <v>203</v>
      </c>
    </row>
    <row r="742" spans="4:9">
      <c r="D742" s="669" t="s">
        <v>0</v>
      </c>
      <c r="E742" s="670"/>
      <c r="H742" s="3" t="s">
        <v>191</v>
      </c>
      <c r="I742" s="4">
        <v>172</v>
      </c>
    </row>
    <row r="743" spans="4:9">
      <c r="D743" s="234" t="s">
        <v>1</v>
      </c>
      <c r="E743" s="2">
        <v>45710</v>
      </c>
      <c r="H743" s="217" t="s">
        <v>4</v>
      </c>
      <c r="I743" s="217">
        <f>SUM(I740:I742)</f>
        <v>540</v>
      </c>
    </row>
    <row r="744" spans="4:9">
      <c r="D744" s="234" t="s">
        <v>2</v>
      </c>
      <c r="E744" s="234" t="s">
        <v>3</v>
      </c>
    </row>
    <row r="745" spans="4:9">
      <c r="D745" s="3" t="s">
        <v>6</v>
      </c>
      <c r="E745" s="4">
        <v>285</v>
      </c>
      <c r="H745" s="669" t="s">
        <v>0</v>
      </c>
      <c r="I745" s="670"/>
    </row>
    <row r="746" spans="4:9">
      <c r="D746" s="217" t="s">
        <v>4</v>
      </c>
      <c r="E746" s="217">
        <f>SUM(E745:E745)</f>
        <v>285</v>
      </c>
      <c r="H746" s="235" t="s">
        <v>1</v>
      </c>
      <c r="I746" s="2">
        <v>45712</v>
      </c>
    </row>
    <row r="747" spans="4:9">
      <c r="H747" s="235" t="s">
        <v>2</v>
      </c>
      <c r="I747" s="235" t="s">
        <v>3</v>
      </c>
    </row>
    <row r="748" spans="4:9" ht="15" customHeight="1">
      <c r="H748" s="3" t="s">
        <v>199</v>
      </c>
      <c r="I748" s="4">
        <v>400</v>
      </c>
    </row>
    <row r="749" spans="4:9">
      <c r="D749" s="669" t="s">
        <v>0</v>
      </c>
      <c r="E749" s="670"/>
      <c r="H749" s="3" t="s">
        <v>123</v>
      </c>
      <c r="I749" s="4">
        <v>400</v>
      </c>
    </row>
    <row r="750" spans="4:9">
      <c r="D750" s="237" t="s">
        <v>1</v>
      </c>
      <c r="E750" s="2">
        <v>45714</v>
      </c>
      <c r="H750" s="217" t="s">
        <v>4</v>
      </c>
      <c r="I750" s="217">
        <f>SUM(I748:I749)</f>
        <v>800</v>
      </c>
    </row>
    <row r="751" spans="4:9">
      <c r="D751" s="237" t="s">
        <v>2</v>
      </c>
      <c r="E751" s="237" t="s">
        <v>3</v>
      </c>
    </row>
    <row r="752" spans="4:9">
      <c r="D752" s="3" t="s">
        <v>203</v>
      </c>
      <c r="E752" s="4">
        <v>400</v>
      </c>
      <c r="H752" s="669" t="s">
        <v>0</v>
      </c>
      <c r="I752" s="670"/>
    </row>
    <row r="753" spans="4:9">
      <c r="D753" s="3" t="s">
        <v>35</v>
      </c>
      <c r="E753" s="4">
        <v>373</v>
      </c>
      <c r="H753" s="236" t="s">
        <v>1</v>
      </c>
      <c r="I753" s="2">
        <v>45713</v>
      </c>
    </row>
    <row r="754" spans="4:9">
      <c r="D754" s="217" t="s">
        <v>4</v>
      </c>
      <c r="E754" s="217">
        <f>SUM(E752:E753)</f>
        <v>773</v>
      </c>
      <c r="H754" s="236" t="s">
        <v>2</v>
      </c>
      <c r="I754" s="236" t="s">
        <v>3</v>
      </c>
    </row>
    <row r="755" spans="4:9">
      <c r="H755" s="3" t="s">
        <v>118</v>
      </c>
      <c r="I755" s="4">
        <v>342</v>
      </c>
    </row>
    <row r="756" spans="4:9">
      <c r="D756" s="669" t="s">
        <v>0</v>
      </c>
      <c r="E756" s="670"/>
      <c r="H756" s="3" t="s">
        <v>200</v>
      </c>
      <c r="I756" s="4">
        <v>33</v>
      </c>
    </row>
    <row r="757" spans="4:9">
      <c r="D757" s="238" t="s">
        <v>1</v>
      </c>
      <c r="E757" s="2">
        <v>45715</v>
      </c>
      <c r="H757" s="3" t="s">
        <v>201</v>
      </c>
      <c r="I757" s="4">
        <v>31</v>
      </c>
    </row>
    <row r="758" spans="4:9">
      <c r="D758" s="238" t="s">
        <v>2</v>
      </c>
      <c r="E758" s="238" t="s">
        <v>3</v>
      </c>
      <c r="H758" s="3" t="s">
        <v>202</v>
      </c>
      <c r="I758" s="4">
        <v>355</v>
      </c>
    </row>
    <row r="759" spans="4:9">
      <c r="D759" s="3" t="s">
        <v>35</v>
      </c>
      <c r="E759" s="4">
        <v>392</v>
      </c>
      <c r="H759" s="217" t="s">
        <v>4</v>
      </c>
      <c r="I759" s="217">
        <f>SUM(I755:I758)</f>
        <v>761</v>
      </c>
    </row>
    <row r="760" spans="4:9">
      <c r="D760" s="3" t="s">
        <v>204</v>
      </c>
      <c r="E760" s="4">
        <v>587</v>
      </c>
    </row>
    <row r="761" spans="4:9">
      <c r="D761" s="217" t="s">
        <v>4</v>
      </c>
      <c r="E761" s="217">
        <f>SUM(E759:E760)</f>
        <v>979</v>
      </c>
      <c r="H761" s="669" t="s">
        <v>0</v>
      </c>
      <c r="I761" s="670"/>
    </row>
    <row r="762" spans="4:9">
      <c r="H762" s="239" t="s">
        <v>1</v>
      </c>
      <c r="I762" s="2">
        <v>45716</v>
      </c>
    </row>
    <row r="763" spans="4:9">
      <c r="D763" s="669" t="s">
        <v>0</v>
      </c>
      <c r="E763" s="670"/>
      <c r="H763" s="239" t="s">
        <v>2</v>
      </c>
      <c r="I763" s="239" t="s">
        <v>3</v>
      </c>
    </row>
    <row r="764" spans="4:9">
      <c r="D764" s="240" t="s">
        <v>1</v>
      </c>
      <c r="E764" s="2">
        <v>45721</v>
      </c>
      <c r="H764" s="3" t="s">
        <v>204</v>
      </c>
      <c r="I764" s="4">
        <v>322</v>
      </c>
    </row>
    <row r="765" spans="4:9">
      <c r="D765" s="240" t="s">
        <v>2</v>
      </c>
      <c r="E765" s="240" t="s">
        <v>3</v>
      </c>
      <c r="H765" s="217" t="s">
        <v>4</v>
      </c>
      <c r="I765" s="217">
        <f>SUM(I764:I764)</f>
        <v>322</v>
      </c>
    </row>
    <row r="766" spans="4:9">
      <c r="D766" s="3" t="s">
        <v>205</v>
      </c>
      <c r="E766" s="4">
        <v>1200</v>
      </c>
    </row>
    <row r="767" spans="4:9">
      <c r="D767" s="3" t="s">
        <v>17</v>
      </c>
      <c r="E767" s="4">
        <v>502</v>
      </c>
      <c r="H767" s="669" t="s">
        <v>0</v>
      </c>
      <c r="I767" s="670"/>
    </row>
    <row r="768" spans="4:9">
      <c r="D768" s="217" t="s">
        <v>4</v>
      </c>
      <c r="E768" s="217">
        <f>SUM(E766:E767)</f>
        <v>1702</v>
      </c>
      <c r="H768" s="241" t="s">
        <v>1</v>
      </c>
      <c r="I768" s="2">
        <v>45722</v>
      </c>
    </row>
    <row r="769" spans="4:9">
      <c r="H769" s="241" t="s">
        <v>2</v>
      </c>
      <c r="I769" s="241" t="s">
        <v>3</v>
      </c>
    </row>
    <row r="770" spans="4:9">
      <c r="D770" s="669" t="s">
        <v>0</v>
      </c>
      <c r="E770" s="670"/>
      <c r="H770" s="3" t="s">
        <v>17</v>
      </c>
      <c r="I770" s="4">
        <v>582</v>
      </c>
    </row>
    <row r="771" spans="4:9">
      <c r="D771" s="242" t="s">
        <v>1</v>
      </c>
      <c r="E771" s="2">
        <v>45723</v>
      </c>
      <c r="H771" s="3" t="s">
        <v>206</v>
      </c>
      <c r="I771" s="4">
        <v>329</v>
      </c>
    </row>
    <row r="772" spans="4:9">
      <c r="D772" s="242" t="s">
        <v>2</v>
      </c>
      <c r="E772" s="242" t="s">
        <v>3</v>
      </c>
      <c r="H772" s="217" t="s">
        <v>4</v>
      </c>
      <c r="I772" s="217">
        <f>SUM(I770:I771)</f>
        <v>911</v>
      </c>
    </row>
    <row r="773" spans="4:9">
      <c r="D773" s="3" t="s">
        <v>207</v>
      </c>
      <c r="E773" s="4">
        <v>68</v>
      </c>
    </row>
    <row r="774" spans="4:9">
      <c r="D774" s="3" t="s">
        <v>179</v>
      </c>
      <c r="E774" s="4">
        <v>332</v>
      </c>
      <c r="H774" s="669" t="s">
        <v>0</v>
      </c>
      <c r="I774" s="670"/>
    </row>
    <row r="775" spans="4:9">
      <c r="D775" s="5" t="s">
        <v>208</v>
      </c>
      <c r="E775" s="217">
        <v>176</v>
      </c>
      <c r="H775" s="243" t="s">
        <v>1</v>
      </c>
      <c r="I775" s="2">
        <v>45724</v>
      </c>
    </row>
    <row r="776" spans="4:9">
      <c r="D776" s="217" t="s">
        <v>4</v>
      </c>
      <c r="E776" s="217">
        <v>576</v>
      </c>
      <c r="H776" s="243" t="s">
        <v>2</v>
      </c>
      <c r="I776" s="243" t="s">
        <v>3</v>
      </c>
    </row>
    <row r="777" spans="4:9">
      <c r="H777" s="3"/>
      <c r="I777" s="4"/>
    </row>
    <row r="778" spans="4:9">
      <c r="D778" s="669" t="s">
        <v>0</v>
      </c>
      <c r="E778" s="670"/>
      <c r="H778" s="3" t="s">
        <v>208</v>
      </c>
      <c r="I778" s="4">
        <v>653</v>
      </c>
    </row>
    <row r="779" spans="4:9">
      <c r="D779" s="244" t="s">
        <v>1</v>
      </c>
      <c r="E779" s="2">
        <v>45726</v>
      </c>
      <c r="H779" s="217" t="s">
        <v>4</v>
      </c>
      <c r="I779" s="217">
        <f>SUM(I777:I778)</f>
        <v>653</v>
      </c>
    </row>
    <row r="780" spans="4:9">
      <c r="D780" s="244" t="s">
        <v>2</v>
      </c>
      <c r="E780" s="244" t="s">
        <v>3</v>
      </c>
    </row>
    <row r="781" spans="4:9">
      <c r="D781" s="3" t="s">
        <v>208</v>
      </c>
      <c r="E781" s="4">
        <v>221</v>
      </c>
      <c r="H781" s="669" t="s">
        <v>0</v>
      </c>
      <c r="I781" s="670"/>
    </row>
    <row r="782" spans="4:9">
      <c r="D782" s="3" t="s">
        <v>5</v>
      </c>
      <c r="E782" s="4">
        <v>400</v>
      </c>
      <c r="H782" s="245" t="s">
        <v>1</v>
      </c>
      <c r="I782" s="2">
        <v>45727</v>
      </c>
    </row>
    <row r="783" spans="4:9">
      <c r="D783" s="217" t="s">
        <v>4</v>
      </c>
      <c r="E783" s="217">
        <f>SUM(E781:E782)</f>
        <v>621</v>
      </c>
      <c r="H783" s="245" t="s">
        <v>2</v>
      </c>
      <c r="I783" s="245" t="s">
        <v>3</v>
      </c>
    </row>
    <row r="784" spans="4:9">
      <c r="H784" s="3" t="s">
        <v>15</v>
      </c>
      <c r="I784" s="4">
        <v>251</v>
      </c>
    </row>
    <row r="785" spans="4:9">
      <c r="D785" s="669" t="s">
        <v>0</v>
      </c>
      <c r="E785" s="670"/>
      <c r="H785" s="3" t="s">
        <v>209</v>
      </c>
      <c r="I785" s="4">
        <v>364</v>
      </c>
    </row>
    <row r="786" spans="4:9">
      <c r="D786" s="246" t="s">
        <v>1</v>
      </c>
      <c r="E786" s="2">
        <v>45728</v>
      </c>
      <c r="H786" s="217" t="s">
        <v>4</v>
      </c>
      <c r="I786" s="217">
        <f>SUM(I784:I785)</f>
        <v>615</v>
      </c>
    </row>
    <row r="787" spans="4:9">
      <c r="D787" s="246" t="s">
        <v>2</v>
      </c>
      <c r="E787" s="246" t="s">
        <v>3</v>
      </c>
    </row>
    <row r="788" spans="4:9">
      <c r="D788" s="3" t="s">
        <v>210</v>
      </c>
      <c r="E788" s="4">
        <v>1200</v>
      </c>
      <c r="H788" s="669" t="s">
        <v>0</v>
      </c>
      <c r="I788" s="670"/>
    </row>
    <row r="789" spans="4:9">
      <c r="D789" s="3" t="s">
        <v>205</v>
      </c>
      <c r="E789" s="4">
        <v>1154</v>
      </c>
      <c r="H789" s="247" t="s">
        <v>1</v>
      </c>
      <c r="I789" s="2">
        <v>45729</v>
      </c>
    </row>
    <row r="790" spans="4:9">
      <c r="D790" s="217" t="s">
        <v>4</v>
      </c>
      <c r="E790" s="217">
        <f>SUM(E788:E789)</f>
        <v>2354</v>
      </c>
      <c r="H790" s="247" t="s">
        <v>2</v>
      </c>
      <c r="I790" s="247" t="s">
        <v>3</v>
      </c>
    </row>
    <row r="791" spans="4:9">
      <c r="H791" s="3" t="s">
        <v>211</v>
      </c>
      <c r="I791" s="4">
        <v>942</v>
      </c>
    </row>
    <row r="792" spans="4:9">
      <c r="D792" s="669" t="s">
        <v>0</v>
      </c>
      <c r="E792" s="670"/>
      <c r="H792" s="3" t="s">
        <v>210</v>
      </c>
      <c r="I792" s="4">
        <v>905</v>
      </c>
    </row>
    <row r="793" spans="4:9">
      <c r="D793" s="248" t="s">
        <v>1</v>
      </c>
      <c r="E793" s="2">
        <v>45730</v>
      </c>
      <c r="H793" s="217" t="s">
        <v>4</v>
      </c>
      <c r="I793" s="217">
        <f>SUM(I791:I792)</f>
        <v>1847</v>
      </c>
    </row>
    <row r="794" spans="4:9">
      <c r="D794" s="248" t="s">
        <v>2</v>
      </c>
      <c r="E794" s="248" t="s">
        <v>3</v>
      </c>
    </row>
    <row r="795" spans="4:9">
      <c r="D795" s="3" t="s">
        <v>212</v>
      </c>
      <c r="E795" s="4">
        <v>366</v>
      </c>
      <c r="H795" s="669" t="s">
        <v>0</v>
      </c>
      <c r="I795" s="670"/>
    </row>
    <row r="796" spans="4:9">
      <c r="D796" s="3" t="s">
        <v>28</v>
      </c>
      <c r="E796" s="4">
        <v>367</v>
      </c>
      <c r="H796" s="249" t="s">
        <v>1</v>
      </c>
      <c r="I796" s="2">
        <v>45733</v>
      </c>
    </row>
    <row r="797" spans="4:9">
      <c r="D797" s="217" t="s">
        <v>4</v>
      </c>
      <c r="E797" s="217">
        <f>SUM(E795:E796)</f>
        <v>733</v>
      </c>
      <c r="H797" s="249" t="s">
        <v>2</v>
      </c>
      <c r="I797" s="249" t="s">
        <v>3</v>
      </c>
    </row>
    <row r="798" spans="4:9">
      <c r="H798" s="3" t="s">
        <v>213</v>
      </c>
      <c r="I798" s="4">
        <v>367</v>
      </c>
    </row>
    <row r="799" spans="4:9">
      <c r="H799" s="3" t="s">
        <v>214</v>
      </c>
      <c r="I799" s="4">
        <v>191</v>
      </c>
    </row>
    <row r="800" spans="4:9">
      <c r="D800" s="669" t="s">
        <v>0</v>
      </c>
      <c r="E800" s="670"/>
      <c r="H800" s="217" t="s">
        <v>4</v>
      </c>
      <c r="I800" s="217">
        <f>SUM(I798:I799)</f>
        <v>558</v>
      </c>
    </row>
    <row r="801" spans="4:9">
      <c r="D801" s="249" t="s">
        <v>1</v>
      </c>
      <c r="E801" s="2">
        <v>45734</v>
      </c>
    </row>
    <row r="802" spans="4:9">
      <c r="D802" s="249" t="s">
        <v>2</v>
      </c>
      <c r="E802" s="249" t="s">
        <v>3</v>
      </c>
      <c r="H802" s="669" t="s">
        <v>0</v>
      </c>
      <c r="I802" s="670"/>
    </row>
    <row r="803" spans="4:9">
      <c r="D803" s="3" t="s">
        <v>214</v>
      </c>
      <c r="E803" s="4">
        <v>162</v>
      </c>
      <c r="H803" s="250" t="s">
        <v>1</v>
      </c>
      <c r="I803" s="2">
        <v>45735</v>
      </c>
    </row>
    <row r="804" spans="4:9">
      <c r="D804" s="3" t="s">
        <v>178</v>
      </c>
      <c r="E804" s="4">
        <v>400</v>
      </c>
      <c r="H804" s="250" t="s">
        <v>2</v>
      </c>
      <c r="I804" s="250" t="s">
        <v>3</v>
      </c>
    </row>
    <row r="805" spans="4:9">
      <c r="D805" s="3" t="s">
        <v>199</v>
      </c>
      <c r="E805" s="4">
        <v>315</v>
      </c>
      <c r="H805" s="3" t="s">
        <v>215</v>
      </c>
      <c r="I805" s="4">
        <v>84</v>
      </c>
    </row>
    <row r="806" spans="4:9">
      <c r="D806" s="3"/>
      <c r="E806" s="4"/>
      <c r="H806" s="3" t="s">
        <v>207</v>
      </c>
      <c r="I806" s="4">
        <v>116</v>
      </c>
    </row>
    <row r="807" spans="4:9">
      <c r="D807" s="217" t="s">
        <v>4</v>
      </c>
      <c r="E807" s="217">
        <f>SUM(E803:E806)</f>
        <v>877</v>
      </c>
      <c r="H807" s="3" t="s">
        <v>10</v>
      </c>
      <c r="I807" s="4">
        <v>181</v>
      </c>
    </row>
    <row r="808" spans="4:9">
      <c r="H808" s="3"/>
      <c r="I808" s="4"/>
    </row>
    <row r="809" spans="4:9">
      <c r="D809" s="669" t="s">
        <v>0</v>
      </c>
      <c r="E809" s="670"/>
      <c r="H809" s="217" t="s">
        <v>4</v>
      </c>
      <c r="I809" s="217">
        <f>SUM(I805:I808)</f>
        <v>381</v>
      </c>
    </row>
    <row r="810" spans="4:9">
      <c r="D810" s="251" t="s">
        <v>1</v>
      </c>
      <c r="E810" s="2">
        <v>45736</v>
      </c>
    </row>
    <row r="811" spans="4:9">
      <c r="D811" s="251" t="s">
        <v>2</v>
      </c>
      <c r="E811" s="251" t="s">
        <v>3</v>
      </c>
      <c r="H811" s="669" t="s">
        <v>0</v>
      </c>
      <c r="I811" s="670"/>
    </row>
    <row r="812" spans="4:9">
      <c r="D812" s="3" t="s">
        <v>172</v>
      </c>
      <c r="E812" s="4">
        <v>567</v>
      </c>
      <c r="H812" s="252" t="s">
        <v>1</v>
      </c>
      <c r="I812" s="2">
        <v>45737</v>
      </c>
    </row>
    <row r="813" spans="4:9">
      <c r="D813" s="3" t="s">
        <v>211</v>
      </c>
      <c r="E813" s="4">
        <v>183</v>
      </c>
      <c r="H813" s="252" t="s">
        <v>2</v>
      </c>
      <c r="I813" s="252" t="s">
        <v>3</v>
      </c>
    </row>
    <row r="814" spans="4:9">
      <c r="D814" s="217" t="s">
        <v>4</v>
      </c>
      <c r="E814" s="217">
        <f>SUM(E812:E813)</f>
        <v>750</v>
      </c>
      <c r="H814" s="3" t="s">
        <v>211</v>
      </c>
      <c r="I814" s="4">
        <v>1017</v>
      </c>
    </row>
    <row r="815" spans="4:9">
      <c r="H815" s="3" t="s">
        <v>210</v>
      </c>
      <c r="I815" s="4">
        <v>774</v>
      </c>
    </row>
    <row r="816" spans="4:9">
      <c r="D816" s="669" t="s">
        <v>0</v>
      </c>
      <c r="E816" s="670"/>
      <c r="H816" s="217" t="s">
        <v>4</v>
      </c>
      <c r="I816" s="217">
        <f>SUM(I814:I815)</f>
        <v>1791</v>
      </c>
    </row>
    <row r="817" spans="4:9">
      <c r="D817" s="253" t="s">
        <v>1</v>
      </c>
      <c r="E817" s="2">
        <v>45741</v>
      </c>
    </row>
    <row r="818" spans="4:9">
      <c r="D818" s="253" t="s">
        <v>2</v>
      </c>
      <c r="E818" s="253" t="s">
        <v>3</v>
      </c>
      <c r="H818" s="669" t="s">
        <v>0</v>
      </c>
      <c r="I818" s="670"/>
    </row>
    <row r="819" spans="4:9">
      <c r="D819" s="3" t="s">
        <v>217</v>
      </c>
      <c r="E819" s="4">
        <v>277</v>
      </c>
      <c r="H819" s="254" t="s">
        <v>1</v>
      </c>
      <c r="I819" s="2">
        <v>45742</v>
      </c>
    </row>
    <row r="820" spans="4:9">
      <c r="D820" s="3" t="s">
        <v>210</v>
      </c>
      <c r="E820" s="4">
        <v>546</v>
      </c>
      <c r="H820" s="254" t="s">
        <v>2</v>
      </c>
      <c r="I820" s="254" t="s">
        <v>3</v>
      </c>
    </row>
    <row r="821" spans="4:9">
      <c r="D821" s="3" t="s">
        <v>216</v>
      </c>
      <c r="E821" s="4">
        <v>233</v>
      </c>
      <c r="H821" s="3" t="s">
        <v>201</v>
      </c>
      <c r="I821" s="4">
        <v>788</v>
      </c>
    </row>
    <row r="822" spans="4:9">
      <c r="D822" s="3"/>
      <c r="E822" s="4"/>
      <c r="H822" s="3" t="s">
        <v>10</v>
      </c>
      <c r="I822" s="4">
        <v>200</v>
      </c>
    </row>
    <row r="823" spans="4:9">
      <c r="D823" s="217" t="s">
        <v>4</v>
      </c>
      <c r="E823" s="217">
        <f>SUM(E819:E822)</f>
        <v>1056</v>
      </c>
      <c r="H823" s="217" t="s">
        <v>4</v>
      </c>
      <c r="I823" s="217">
        <f>SUM(I821:I822)</f>
        <v>988</v>
      </c>
    </row>
    <row r="825" spans="4:9">
      <c r="D825" s="669" t="s">
        <v>0</v>
      </c>
      <c r="E825" s="670"/>
      <c r="H825" s="669" t="s">
        <v>0</v>
      </c>
      <c r="I825" s="670"/>
    </row>
    <row r="826" spans="4:9">
      <c r="D826" s="255" t="s">
        <v>1</v>
      </c>
      <c r="E826" s="2">
        <v>45743</v>
      </c>
      <c r="H826" s="256" t="s">
        <v>1</v>
      </c>
      <c r="I826" s="2">
        <v>45744</v>
      </c>
    </row>
    <row r="827" spans="4:9">
      <c r="D827" s="255" t="s">
        <v>2</v>
      </c>
      <c r="E827" s="255" t="s">
        <v>3</v>
      </c>
      <c r="H827" s="256" t="s">
        <v>2</v>
      </c>
      <c r="I827" s="256" t="s">
        <v>3</v>
      </c>
    </row>
    <row r="828" spans="4:9">
      <c r="D828" s="3" t="s">
        <v>10</v>
      </c>
      <c r="E828" s="4">
        <v>419</v>
      </c>
      <c r="H828" s="257" t="s">
        <v>218</v>
      </c>
      <c r="I828" s="4">
        <v>198</v>
      </c>
    </row>
    <row r="829" spans="4:9">
      <c r="D829" s="257" t="s">
        <v>218</v>
      </c>
      <c r="E829" s="4">
        <v>387</v>
      </c>
      <c r="H829" s="5" t="s">
        <v>219</v>
      </c>
      <c r="I829" s="5">
        <v>540</v>
      </c>
    </row>
    <row r="830" spans="4:9">
      <c r="D830" s="217" t="s">
        <v>4</v>
      </c>
      <c r="E830" s="217">
        <f>SUM(E828:E829)</f>
        <v>806</v>
      </c>
      <c r="H830" s="217" t="s">
        <v>4</v>
      </c>
      <c r="I830" s="217">
        <f>SUM(I828:I829)</f>
        <v>738</v>
      </c>
    </row>
    <row r="832" spans="4:9">
      <c r="D832" s="669" t="s">
        <v>0</v>
      </c>
      <c r="E832" s="670"/>
      <c r="H832" s="669" t="s">
        <v>0</v>
      </c>
      <c r="I832" s="670"/>
    </row>
    <row r="833" spans="4:9">
      <c r="D833" s="258" t="s">
        <v>1</v>
      </c>
      <c r="E833" s="2">
        <v>45747</v>
      </c>
      <c r="H833" s="259" t="s">
        <v>1</v>
      </c>
      <c r="I833" s="2">
        <v>45748</v>
      </c>
    </row>
    <row r="834" spans="4:9">
      <c r="D834" s="258" t="s">
        <v>2</v>
      </c>
      <c r="E834" s="258" t="s">
        <v>3</v>
      </c>
      <c r="H834" s="259" t="s">
        <v>2</v>
      </c>
      <c r="I834" s="259" t="s">
        <v>3</v>
      </c>
    </row>
    <row r="835" spans="4:9">
      <c r="D835" s="5" t="s">
        <v>136</v>
      </c>
      <c r="E835" s="4">
        <v>584</v>
      </c>
      <c r="H835" s="5" t="s">
        <v>136</v>
      </c>
      <c r="I835" s="4">
        <v>216</v>
      </c>
    </row>
    <row r="836" spans="4:9">
      <c r="H836" s="5" t="s">
        <v>220</v>
      </c>
      <c r="I836" s="4">
        <v>410</v>
      </c>
    </row>
    <row r="837" spans="4:9">
      <c r="D837" s="217" t="s">
        <v>4</v>
      </c>
      <c r="E837" s="217">
        <f ca="1">SUM(E835:E837)</f>
        <v>584</v>
      </c>
      <c r="H837" s="217" t="s">
        <v>4</v>
      </c>
      <c r="I837" s="217">
        <f>SUM(I835:I836)</f>
        <v>626</v>
      </c>
    </row>
    <row r="840" spans="4:9">
      <c r="D840" s="669" t="s">
        <v>0</v>
      </c>
      <c r="E840" s="670"/>
      <c r="H840" s="669" t="s">
        <v>0</v>
      </c>
      <c r="I840" s="670"/>
    </row>
    <row r="841" spans="4:9">
      <c r="D841" s="260" t="s">
        <v>1</v>
      </c>
      <c r="E841" s="2">
        <v>45749</v>
      </c>
      <c r="H841" s="261" t="s">
        <v>1</v>
      </c>
      <c r="I841" s="2">
        <v>45750</v>
      </c>
    </row>
    <row r="842" spans="4:9">
      <c r="D842" s="260" t="s">
        <v>2</v>
      </c>
      <c r="E842" s="260" t="s">
        <v>3</v>
      </c>
      <c r="H842" s="261" t="s">
        <v>2</v>
      </c>
      <c r="I842" s="261" t="s">
        <v>3</v>
      </c>
    </row>
    <row r="843" spans="4:9">
      <c r="D843" s="3" t="s">
        <v>220</v>
      </c>
      <c r="E843" s="4">
        <v>390</v>
      </c>
      <c r="H843" s="3" t="s">
        <v>222</v>
      </c>
      <c r="I843" s="4">
        <v>314</v>
      </c>
    </row>
    <row r="844" spans="4:9">
      <c r="D844" s="3" t="s">
        <v>221</v>
      </c>
      <c r="E844" s="4">
        <v>380</v>
      </c>
      <c r="H844" s="3" t="s">
        <v>15</v>
      </c>
      <c r="I844" s="4">
        <v>307</v>
      </c>
    </row>
    <row r="845" spans="4:9">
      <c r="D845" s="217" t="s">
        <v>4</v>
      </c>
      <c r="E845" s="217">
        <f>SUM(E843:E844)</f>
        <v>770</v>
      </c>
      <c r="H845" s="217" t="s">
        <v>4</v>
      </c>
      <c r="I845" s="217">
        <f>SUM(I843:I844)</f>
        <v>621</v>
      </c>
    </row>
    <row r="848" spans="4:9">
      <c r="D848" s="669" t="s">
        <v>0</v>
      </c>
      <c r="E848" s="670"/>
      <c r="H848" s="669" t="s">
        <v>0</v>
      </c>
      <c r="I848" s="670"/>
    </row>
    <row r="849" spans="4:9">
      <c r="D849" s="262" t="s">
        <v>1</v>
      </c>
      <c r="E849" s="2">
        <v>45751</v>
      </c>
      <c r="H849" s="263" t="s">
        <v>1</v>
      </c>
      <c r="I849" s="2">
        <v>45754</v>
      </c>
    </row>
    <row r="850" spans="4:9">
      <c r="D850" s="262" t="s">
        <v>2</v>
      </c>
      <c r="E850" s="262" t="s">
        <v>3</v>
      </c>
      <c r="H850" s="264" t="s">
        <v>2</v>
      </c>
      <c r="I850" s="264" t="s">
        <v>3</v>
      </c>
    </row>
    <row r="851" spans="4:9">
      <c r="D851" s="3" t="s">
        <v>167</v>
      </c>
      <c r="E851" s="4">
        <v>331</v>
      </c>
      <c r="H851" s="3" t="s">
        <v>167</v>
      </c>
      <c r="I851" s="4">
        <v>169</v>
      </c>
    </row>
    <row r="852" spans="4:9">
      <c r="D852" s="3"/>
      <c r="E852" s="4"/>
      <c r="H852" s="3" t="s">
        <v>223</v>
      </c>
      <c r="I852" s="4">
        <v>500</v>
      </c>
    </row>
    <row r="853" spans="4:9">
      <c r="D853" s="3"/>
      <c r="E853" s="4"/>
      <c r="H853" s="5" t="s">
        <v>224</v>
      </c>
      <c r="I853" s="5">
        <v>13</v>
      </c>
    </row>
    <row r="854" spans="4:9">
      <c r="D854" s="217" t="s">
        <v>4</v>
      </c>
      <c r="E854" s="217">
        <f>SUM(E851:E853)</f>
        <v>331</v>
      </c>
      <c r="H854" s="217" t="s">
        <v>4</v>
      </c>
      <c r="I854" s="217">
        <f>SUM(I851:I853)</f>
        <v>682</v>
      </c>
    </row>
    <row r="857" spans="4:9">
      <c r="D857" s="669" t="s">
        <v>0</v>
      </c>
      <c r="E857" s="670"/>
      <c r="H857" s="669" t="s">
        <v>0</v>
      </c>
      <c r="I857" s="670"/>
    </row>
    <row r="858" spans="4:9">
      <c r="D858" s="265" t="s">
        <v>1</v>
      </c>
      <c r="E858" s="2">
        <v>45755</v>
      </c>
      <c r="H858" s="266" t="s">
        <v>1</v>
      </c>
      <c r="I858" s="2">
        <v>45756</v>
      </c>
    </row>
    <row r="859" spans="4:9">
      <c r="D859" s="265" t="s">
        <v>2</v>
      </c>
      <c r="E859" s="265" t="s">
        <v>3</v>
      </c>
      <c r="H859" s="266" t="s">
        <v>2</v>
      </c>
      <c r="I859" s="266" t="s">
        <v>3</v>
      </c>
    </row>
    <row r="860" spans="4:9">
      <c r="D860" s="5" t="s">
        <v>224</v>
      </c>
      <c r="E860" s="5">
        <v>487</v>
      </c>
      <c r="H860" s="3" t="s">
        <v>225</v>
      </c>
      <c r="I860" s="4">
        <v>379</v>
      </c>
    </row>
    <row r="861" spans="4:9">
      <c r="D861" s="3" t="s">
        <v>225</v>
      </c>
      <c r="E861" s="4">
        <v>547</v>
      </c>
      <c r="H861" s="3" t="s">
        <v>226</v>
      </c>
      <c r="I861" s="4">
        <v>924</v>
      </c>
    </row>
    <row r="862" spans="4:9">
      <c r="D862" s="217" t="s">
        <v>4</v>
      </c>
      <c r="E862" s="217">
        <f>SUM(E860:E861)</f>
        <v>1034</v>
      </c>
      <c r="H862" s="5" t="s">
        <v>227</v>
      </c>
      <c r="I862" s="5">
        <v>656</v>
      </c>
    </row>
    <row r="863" spans="4:9">
      <c r="H863" s="217" t="s">
        <v>4</v>
      </c>
      <c r="I863" s="217">
        <f>SUM(I860:I862)</f>
        <v>1959</v>
      </c>
    </row>
    <row r="865" spans="4:10">
      <c r="D865" s="669" t="s">
        <v>0</v>
      </c>
      <c r="E865" s="670"/>
      <c r="H865" s="669" t="s">
        <v>0</v>
      </c>
      <c r="I865" s="670"/>
    </row>
    <row r="866" spans="4:10">
      <c r="D866" s="267" t="s">
        <v>1</v>
      </c>
      <c r="E866" s="2">
        <v>45757</v>
      </c>
      <c r="H866" s="268" t="s">
        <v>1</v>
      </c>
      <c r="I866" s="2">
        <v>45758</v>
      </c>
    </row>
    <row r="867" spans="4:10">
      <c r="D867" s="267" t="s">
        <v>2</v>
      </c>
      <c r="E867" s="267" t="s">
        <v>3</v>
      </c>
      <c r="H867" s="268" t="s">
        <v>2</v>
      </c>
      <c r="I867" s="268" t="s">
        <v>3</v>
      </c>
    </row>
    <row r="868" spans="4:10">
      <c r="D868" s="5" t="s">
        <v>227</v>
      </c>
      <c r="E868" s="5">
        <v>254</v>
      </c>
      <c r="H868" s="3" t="s">
        <v>228</v>
      </c>
      <c r="I868" s="4">
        <v>268</v>
      </c>
    </row>
    <row r="869" spans="4:10">
      <c r="D869" s="3" t="s">
        <v>228</v>
      </c>
      <c r="E869" s="4">
        <v>614</v>
      </c>
      <c r="H869" s="3" t="s">
        <v>229</v>
      </c>
      <c r="I869" s="4">
        <v>565</v>
      </c>
    </row>
    <row r="870" spans="4:10">
      <c r="D870" s="217" t="s">
        <v>4</v>
      </c>
      <c r="E870" s="217">
        <f>SUM(E868:E869)</f>
        <v>868</v>
      </c>
      <c r="H870" s="217" t="s">
        <v>4</v>
      </c>
      <c r="I870" s="217">
        <f>SUM(I868:I869)</f>
        <v>833</v>
      </c>
    </row>
    <row r="872" spans="4:10">
      <c r="J872">
        <f>I869+E876</f>
        <v>1049</v>
      </c>
    </row>
    <row r="873" spans="4:10">
      <c r="D873" s="669" t="s">
        <v>0</v>
      </c>
      <c r="E873" s="670"/>
      <c r="H873" s="669" t="s">
        <v>0</v>
      </c>
      <c r="I873" s="670"/>
      <c r="J873" t="s">
        <v>45</v>
      </c>
    </row>
    <row r="874" spans="4:10">
      <c r="D874" s="269" t="s">
        <v>1</v>
      </c>
      <c r="E874" s="2">
        <v>45761</v>
      </c>
      <c r="H874" s="270" t="s">
        <v>1</v>
      </c>
      <c r="I874" s="2">
        <v>45762</v>
      </c>
    </row>
    <row r="875" spans="4:10">
      <c r="D875" s="269" t="s">
        <v>2</v>
      </c>
      <c r="E875" s="269" t="s">
        <v>3</v>
      </c>
      <c r="H875" s="270" t="s">
        <v>2</v>
      </c>
      <c r="I875" s="270" t="s">
        <v>3</v>
      </c>
    </row>
    <row r="876" spans="4:10">
      <c r="D876" s="3" t="s">
        <v>229</v>
      </c>
      <c r="E876" s="4">
        <v>484</v>
      </c>
      <c r="H876" s="3" t="s">
        <v>230</v>
      </c>
      <c r="I876" s="4">
        <v>834</v>
      </c>
    </row>
    <row r="877" spans="4:10">
      <c r="D877" s="3" t="s">
        <v>230</v>
      </c>
      <c r="E877" s="4">
        <v>177</v>
      </c>
      <c r="H877" s="3"/>
      <c r="I877" s="4"/>
    </row>
    <row r="878" spans="4:10">
      <c r="D878" s="217" t="s">
        <v>4</v>
      </c>
      <c r="E878" s="217">
        <f>SUM(E876:E877)</f>
        <v>661</v>
      </c>
      <c r="H878" s="217" t="s">
        <v>4</v>
      </c>
      <c r="I878" s="217">
        <f>SUM(I876:I877)</f>
        <v>834</v>
      </c>
    </row>
    <row r="881" spans="4:9">
      <c r="D881" s="669" t="s">
        <v>0</v>
      </c>
      <c r="E881" s="670"/>
      <c r="H881" s="669" t="s">
        <v>0</v>
      </c>
      <c r="I881" s="670"/>
    </row>
    <row r="882" spans="4:9">
      <c r="D882" s="270" t="s">
        <v>1</v>
      </c>
      <c r="E882" s="2">
        <v>45763</v>
      </c>
      <c r="H882" s="270" t="s">
        <v>1</v>
      </c>
      <c r="I882" s="2">
        <v>45768</v>
      </c>
    </row>
    <row r="883" spans="4:9">
      <c r="D883" s="270" t="s">
        <v>2</v>
      </c>
      <c r="E883" s="270" t="s">
        <v>3</v>
      </c>
      <c r="H883" s="270" t="s">
        <v>2</v>
      </c>
      <c r="I883" s="270" t="s">
        <v>3</v>
      </c>
    </row>
    <row r="884" spans="4:9">
      <c r="D884" s="3" t="s">
        <v>190</v>
      </c>
      <c r="E884" s="4">
        <v>400</v>
      </c>
      <c r="H884" s="3" t="s">
        <v>231</v>
      </c>
      <c r="I884" s="4">
        <v>600</v>
      </c>
    </row>
    <row r="885" spans="4:9">
      <c r="D885" s="3" t="s">
        <v>236</v>
      </c>
      <c r="E885" s="4">
        <v>20</v>
      </c>
      <c r="H885" s="3" t="s">
        <v>232</v>
      </c>
      <c r="I885" s="4">
        <v>170</v>
      </c>
    </row>
    <row r="886" spans="4:9">
      <c r="D886" s="217" t="s">
        <v>4</v>
      </c>
      <c r="E886" s="217">
        <f>SUM(E884:E885)</f>
        <v>420</v>
      </c>
      <c r="H886" s="217" t="s">
        <v>4</v>
      </c>
      <c r="I886" s="217">
        <f>SUM(I884:I885)</f>
        <v>770</v>
      </c>
    </row>
    <row r="888" spans="4:9">
      <c r="D888" s="669" t="s">
        <v>0</v>
      </c>
      <c r="E888" s="670"/>
      <c r="H888" s="669" t="s">
        <v>0</v>
      </c>
      <c r="I888" s="670"/>
    </row>
    <row r="889" spans="4:9">
      <c r="D889" s="271" t="s">
        <v>1</v>
      </c>
      <c r="E889" s="2">
        <v>45769</v>
      </c>
      <c r="H889" s="272" t="s">
        <v>1</v>
      </c>
      <c r="I889" s="2">
        <v>45770</v>
      </c>
    </row>
    <row r="890" spans="4:9">
      <c r="D890" s="271" t="s">
        <v>2</v>
      </c>
      <c r="E890" s="271" t="s">
        <v>3</v>
      </c>
      <c r="H890" s="272" t="s">
        <v>2</v>
      </c>
      <c r="I890" s="272" t="s">
        <v>3</v>
      </c>
    </row>
    <row r="891" spans="4:9">
      <c r="D891" s="3" t="s">
        <v>232</v>
      </c>
      <c r="E891" s="4">
        <v>430</v>
      </c>
      <c r="H891" s="3" t="s">
        <v>233</v>
      </c>
      <c r="I891" s="4">
        <v>355</v>
      </c>
    </row>
    <row r="892" spans="4:9">
      <c r="D892" s="3" t="s">
        <v>233</v>
      </c>
      <c r="E892" s="4">
        <v>18</v>
      </c>
      <c r="H892" s="5" t="s">
        <v>235</v>
      </c>
      <c r="I892" s="4">
        <v>385</v>
      </c>
    </row>
    <row r="893" spans="4:9">
      <c r="D893" s="217" t="s">
        <v>4</v>
      </c>
      <c r="E893" s="217">
        <f>SUM(E891:E892)</f>
        <v>448</v>
      </c>
      <c r="H893" s="217" t="s">
        <v>4</v>
      </c>
      <c r="I893" s="217">
        <f>SUM(I891:I892)</f>
        <v>740</v>
      </c>
    </row>
    <row r="895" spans="4:9">
      <c r="D895" s="669" t="s">
        <v>0</v>
      </c>
      <c r="E895" s="670"/>
      <c r="H895" s="669" t="s">
        <v>0</v>
      </c>
      <c r="I895" s="670"/>
    </row>
    <row r="896" spans="4:9">
      <c r="D896" s="272" t="s">
        <v>1</v>
      </c>
      <c r="E896" s="2">
        <v>45771</v>
      </c>
      <c r="H896" s="273" t="s">
        <v>1</v>
      </c>
      <c r="I896" s="2">
        <v>45772</v>
      </c>
    </row>
    <row r="897" spans="4:9">
      <c r="D897" s="272" t="s">
        <v>2</v>
      </c>
      <c r="E897" s="272" t="s">
        <v>3</v>
      </c>
      <c r="H897" s="273" t="s">
        <v>2</v>
      </c>
      <c r="I897" s="273" t="s">
        <v>3</v>
      </c>
    </row>
    <row r="898" spans="4:9">
      <c r="D898" s="3" t="s">
        <v>146</v>
      </c>
      <c r="E898" s="4">
        <v>420</v>
      </c>
      <c r="H898" s="3" t="s">
        <v>236</v>
      </c>
      <c r="I898" s="4">
        <v>379</v>
      </c>
    </row>
    <row r="899" spans="4:9">
      <c r="D899" s="5" t="s">
        <v>234</v>
      </c>
      <c r="E899" s="4">
        <v>490</v>
      </c>
      <c r="H899" s="5" t="s">
        <v>237</v>
      </c>
      <c r="I899" s="4">
        <v>44</v>
      </c>
    </row>
    <row r="900" spans="4:9">
      <c r="D900" s="217" t="s">
        <v>4</v>
      </c>
      <c r="E900" s="217">
        <f>SUM(E898:E899)</f>
        <v>910</v>
      </c>
      <c r="H900" s="5" t="s">
        <v>238</v>
      </c>
      <c r="I900" s="5">
        <v>34</v>
      </c>
    </row>
    <row r="901" spans="4:9">
      <c r="H901" s="217" t="s">
        <v>4</v>
      </c>
      <c r="I901" s="217">
        <f>SUM(I898:I900)</f>
        <v>457</v>
      </c>
    </row>
    <row r="903" spans="4:9">
      <c r="D903" s="669" t="s">
        <v>0</v>
      </c>
      <c r="E903" s="670"/>
      <c r="H903" s="669" t="s">
        <v>0</v>
      </c>
      <c r="I903" s="670"/>
    </row>
    <row r="904" spans="4:9">
      <c r="D904" s="274" t="s">
        <v>1</v>
      </c>
      <c r="E904" s="2">
        <v>45775</v>
      </c>
      <c r="H904" s="275" t="s">
        <v>1</v>
      </c>
      <c r="I904" s="2">
        <v>45776</v>
      </c>
    </row>
    <row r="905" spans="4:9">
      <c r="D905" s="274" t="s">
        <v>2</v>
      </c>
      <c r="E905" s="274" t="s">
        <v>3</v>
      </c>
      <c r="H905" s="275" t="s">
        <v>2</v>
      </c>
      <c r="I905" s="275" t="s">
        <v>3</v>
      </c>
    </row>
    <row r="906" spans="4:9">
      <c r="D906" s="3" t="s">
        <v>177</v>
      </c>
      <c r="E906" s="4">
        <v>501</v>
      </c>
      <c r="H906" s="3" t="s">
        <v>177</v>
      </c>
      <c r="I906" s="4">
        <v>300</v>
      </c>
    </row>
    <row r="907" spans="4:9">
      <c r="D907" s="5"/>
      <c r="E907" s="4"/>
      <c r="H907" s="5" t="s">
        <v>239</v>
      </c>
      <c r="I907" s="4">
        <v>400</v>
      </c>
    </row>
    <row r="908" spans="4:9">
      <c r="D908" s="217" t="s">
        <v>4</v>
      </c>
      <c r="E908" s="217">
        <f>SUM(E906:E907)</f>
        <v>501</v>
      </c>
      <c r="H908" s="217" t="s">
        <v>4</v>
      </c>
      <c r="I908" s="217">
        <f>SUM(I906:I907)</f>
        <v>700</v>
      </c>
    </row>
    <row r="911" spans="4:9">
      <c r="D911" s="669" t="s">
        <v>0</v>
      </c>
      <c r="E911" s="670"/>
      <c r="H911" s="669" t="s">
        <v>0</v>
      </c>
      <c r="I911" s="670"/>
    </row>
    <row r="912" spans="4:9">
      <c r="D912" s="276" t="s">
        <v>1</v>
      </c>
      <c r="E912" s="2">
        <v>45777</v>
      </c>
      <c r="H912" s="277" t="s">
        <v>1</v>
      </c>
      <c r="I912" s="2">
        <v>45779</v>
      </c>
    </row>
    <row r="913" spans="4:9">
      <c r="D913" s="276" t="s">
        <v>2</v>
      </c>
      <c r="E913" s="276" t="s">
        <v>3</v>
      </c>
      <c r="H913" s="277" t="s">
        <v>2</v>
      </c>
      <c r="I913" s="277" t="s">
        <v>3</v>
      </c>
    </row>
    <row r="914" spans="4:9">
      <c r="D914" s="3" t="s">
        <v>6</v>
      </c>
      <c r="E914" s="4">
        <v>400</v>
      </c>
      <c r="H914" s="5" t="s">
        <v>226</v>
      </c>
      <c r="I914" s="3">
        <v>820</v>
      </c>
    </row>
    <row r="915" spans="4:9">
      <c r="D915" s="5" t="s">
        <v>226</v>
      </c>
      <c r="E915" s="4">
        <v>780</v>
      </c>
      <c r="H915" s="5" t="s">
        <v>227</v>
      </c>
      <c r="I915" s="4">
        <v>964</v>
      </c>
    </row>
    <row r="916" spans="4:9">
      <c r="D916" s="217" t="s">
        <v>4</v>
      </c>
      <c r="E916" s="217">
        <f>SUM(E914:E915)</f>
        <v>1180</v>
      </c>
      <c r="H916" s="217" t="s">
        <v>4</v>
      </c>
      <c r="I916" s="217">
        <f>SUM(I914:I915)</f>
        <v>1784</v>
      </c>
    </row>
    <row r="918" spans="4:9">
      <c r="D918" s="669" t="s">
        <v>0</v>
      </c>
      <c r="E918" s="670"/>
      <c r="H918" s="669" t="s">
        <v>0</v>
      </c>
      <c r="I918" s="670"/>
    </row>
    <row r="919" spans="4:9">
      <c r="D919" s="279" t="s">
        <v>1</v>
      </c>
      <c r="E919" s="2">
        <v>45782</v>
      </c>
      <c r="H919" s="278" t="s">
        <v>1</v>
      </c>
      <c r="I919" s="2">
        <v>45783</v>
      </c>
    </row>
    <row r="920" spans="4:9">
      <c r="D920" s="279" t="s">
        <v>2</v>
      </c>
      <c r="E920" s="279" t="s">
        <v>3</v>
      </c>
      <c r="H920" s="278" t="s">
        <v>2</v>
      </c>
      <c r="I920" s="278" t="s">
        <v>3</v>
      </c>
    </row>
    <row r="921" spans="4:9">
      <c r="D921" s="5" t="s">
        <v>227</v>
      </c>
      <c r="E921" s="3">
        <v>132</v>
      </c>
      <c r="H921" s="5" t="s">
        <v>227</v>
      </c>
      <c r="I921" s="3">
        <v>641</v>
      </c>
    </row>
    <row r="922" spans="4:9">
      <c r="D922" s="5"/>
      <c r="E922" s="4"/>
      <c r="H922" s="5" t="s">
        <v>240</v>
      </c>
      <c r="I922" s="4">
        <v>847</v>
      </c>
    </row>
    <row r="923" spans="4:9">
      <c r="D923" s="217" t="s">
        <v>4</v>
      </c>
      <c r="E923" s="217">
        <f>SUM(E921:E922)</f>
        <v>132</v>
      </c>
      <c r="H923" s="217" t="s">
        <v>4</v>
      </c>
      <c r="I923" s="217">
        <f>SUM(I921:I922)</f>
        <v>1488</v>
      </c>
    </row>
    <row r="925" spans="4:9">
      <c r="D925" s="669" t="s">
        <v>0</v>
      </c>
      <c r="E925" s="670"/>
      <c r="H925" s="669" t="s">
        <v>0</v>
      </c>
      <c r="I925" s="670"/>
    </row>
    <row r="926" spans="4:9">
      <c r="D926" s="280" t="s">
        <v>1</v>
      </c>
      <c r="E926" s="2">
        <v>45784</v>
      </c>
      <c r="H926" s="281" t="s">
        <v>1</v>
      </c>
      <c r="I926" s="2">
        <v>45785</v>
      </c>
    </row>
    <row r="927" spans="4:9">
      <c r="D927" s="280" t="s">
        <v>2</v>
      </c>
      <c r="E927" s="280" t="s">
        <v>3</v>
      </c>
      <c r="H927" s="281" t="s">
        <v>2</v>
      </c>
      <c r="I927" s="281" t="s">
        <v>3</v>
      </c>
    </row>
    <row r="928" spans="4:9">
      <c r="D928" s="5" t="s">
        <v>240</v>
      </c>
      <c r="E928" s="3">
        <v>142</v>
      </c>
      <c r="H928" s="5" t="s">
        <v>204</v>
      </c>
      <c r="I928" s="3">
        <v>846</v>
      </c>
    </row>
    <row r="929" spans="4:9">
      <c r="D929" s="5" t="s">
        <v>230</v>
      </c>
      <c r="E929" s="4">
        <v>222</v>
      </c>
      <c r="H929" s="5"/>
      <c r="I929" s="4"/>
    </row>
    <row r="930" spans="4:9">
      <c r="D930" s="5" t="s">
        <v>241</v>
      </c>
      <c r="E930" s="4">
        <v>224</v>
      </c>
      <c r="H930" s="5"/>
      <c r="I930" s="4"/>
    </row>
    <row r="931" spans="4:9">
      <c r="D931" s="217" t="s">
        <v>4</v>
      </c>
      <c r="E931" s="217">
        <f>SUM(E928:E930)</f>
        <v>588</v>
      </c>
      <c r="H931" s="217" t="s">
        <v>4</v>
      </c>
      <c r="I931" s="217">
        <f>SUM(I928:I930)</f>
        <v>846</v>
      </c>
    </row>
    <row r="933" spans="4:9">
      <c r="D933" s="669" t="s">
        <v>0</v>
      </c>
      <c r="E933" s="670"/>
      <c r="H933" s="669" t="s">
        <v>0</v>
      </c>
      <c r="I933" s="670"/>
    </row>
    <row r="934" spans="4:9">
      <c r="D934" s="281" t="s">
        <v>1</v>
      </c>
      <c r="E934" s="2">
        <v>45786</v>
      </c>
      <c r="H934" s="281" t="s">
        <v>1</v>
      </c>
      <c r="I934" s="2">
        <v>45789</v>
      </c>
    </row>
    <row r="935" spans="4:9">
      <c r="D935" s="281" t="s">
        <v>2</v>
      </c>
      <c r="E935" s="281" t="s">
        <v>3</v>
      </c>
      <c r="H935" s="281" t="s">
        <v>2</v>
      </c>
      <c r="I935" s="281" t="s">
        <v>3</v>
      </c>
    </row>
    <row r="936" spans="4:9">
      <c r="D936" s="5" t="s">
        <v>242</v>
      </c>
      <c r="E936" s="3">
        <v>354</v>
      </c>
      <c r="H936" s="5" t="s">
        <v>20</v>
      </c>
      <c r="I936" s="3">
        <v>264</v>
      </c>
    </row>
    <row r="937" spans="4:9">
      <c r="D937" s="5" t="s">
        <v>20</v>
      </c>
      <c r="E937" s="4">
        <v>223</v>
      </c>
      <c r="H937" s="5" t="s">
        <v>6</v>
      </c>
      <c r="I937" s="4">
        <v>204</v>
      </c>
    </row>
    <row r="938" spans="4:9">
      <c r="D938" s="5"/>
      <c r="E938" s="4"/>
      <c r="H938" s="5"/>
      <c r="I938" s="4"/>
    </row>
    <row r="939" spans="4:9">
      <c r="D939" s="217" t="s">
        <v>4</v>
      </c>
      <c r="E939" s="217">
        <f>SUM(E936:E938)</f>
        <v>577</v>
      </c>
      <c r="H939" s="217" t="s">
        <v>4</v>
      </c>
      <c r="I939" s="217">
        <f>SUM(I936:I938)</f>
        <v>468</v>
      </c>
    </row>
    <row r="941" spans="4:9">
      <c r="D941" s="669" t="s">
        <v>0</v>
      </c>
      <c r="E941" s="670"/>
      <c r="H941" s="669" t="s">
        <v>0</v>
      </c>
      <c r="I941" s="670"/>
    </row>
    <row r="942" spans="4:9">
      <c r="D942" s="281" t="s">
        <v>1</v>
      </c>
      <c r="E942" s="2">
        <v>45790</v>
      </c>
      <c r="H942" s="281" t="s">
        <v>1</v>
      </c>
      <c r="I942" s="2">
        <v>45791</v>
      </c>
    </row>
    <row r="943" spans="4:9">
      <c r="D943" s="281" t="s">
        <v>2</v>
      </c>
      <c r="E943" s="281" t="s">
        <v>3</v>
      </c>
      <c r="H943" s="281" t="s">
        <v>2</v>
      </c>
      <c r="I943" s="281" t="s">
        <v>3</v>
      </c>
    </row>
    <row r="944" spans="4:9">
      <c r="D944" s="5" t="s">
        <v>6</v>
      </c>
      <c r="E944" s="3">
        <v>196</v>
      </c>
      <c r="H944" s="5" t="s">
        <v>243</v>
      </c>
      <c r="I944" s="3">
        <v>276</v>
      </c>
    </row>
    <row r="945" spans="4:9">
      <c r="D945" s="5" t="s">
        <v>158</v>
      </c>
      <c r="E945" s="4">
        <v>400</v>
      </c>
      <c r="H945" s="5" t="s">
        <v>244</v>
      </c>
      <c r="I945" s="4">
        <v>413</v>
      </c>
    </row>
    <row r="946" spans="4:9">
      <c r="D946" s="5" t="s">
        <v>35</v>
      </c>
      <c r="E946" s="4">
        <v>124</v>
      </c>
      <c r="H946" s="5" t="s">
        <v>190</v>
      </c>
      <c r="I946" s="4">
        <v>25</v>
      </c>
    </row>
    <row r="947" spans="4:9">
      <c r="D947" s="217" t="s">
        <v>4</v>
      </c>
      <c r="E947" s="217">
        <f>SUM(E944:E946)</f>
        <v>720</v>
      </c>
      <c r="H947" s="217" t="s">
        <v>4</v>
      </c>
      <c r="I947" s="217">
        <f>SUM(I944:I946)</f>
        <v>714</v>
      </c>
    </row>
    <row r="949" spans="4:9">
      <c r="D949" s="669" t="s">
        <v>0</v>
      </c>
      <c r="E949" s="670"/>
      <c r="H949" s="669" t="s">
        <v>0</v>
      </c>
      <c r="I949" s="670"/>
    </row>
    <row r="950" spans="4:9">
      <c r="D950" s="281" t="s">
        <v>1</v>
      </c>
      <c r="E950" s="2">
        <v>45792</v>
      </c>
      <c r="H950" s="281" t="s">
        <v>1</v>
      </c>
      <c r="I950" s="2">
        <v>45793</v>
      </c>
    </row>
    <row r="951" spans="4:9">
      <c r="D951" s="281" t="s">
        <v>2</v>
      </c>
      <c r="E951" s="281" t="s">
        <v>3</v>
      </c>
      <c r="H951" s="281" t="s">
        <v>2</v>
      </c>
      <c r="I951" s="281" t="s">
        <v>3</v>
      </c>
    </row>
    <row r="952" spans="4:9">
      <c r="D952" s="5" t="s">
        <v>190</v>
      </c>
      <c r="E952" s="3">
        <v>376</v>
      </c>
      <c r="H952" s="5" t="s">
        <v>27</v>
      </c>
      <c r="I952" s="3">
        <v>280</v>
      </c>
    </row>
    <row r="953" spans="4:9">
      <c r="D953" s="5" t="s">
        <v>5</v>
      </c>
      <c r="E953" s="4">
        <v>355</v>
      </c>
      <c r="H953" s="5" t="s">
        <v>146</v>
      </c>
      <c r="I953" s="4">
        <v>317</v>
      </c>
    </row>
    <row r="954" spans="4:9">
      <c r="D954" s="5"/>
      <c r="E954" s="4"/>
      <c r="H954" s="5" t="s">
        <v>245</v>
      </c>
      <c r="I954" s="4">
        <v>57</v>
      </c>
    </row>
    <row r="955" spans="4:9">
      <c r="D955" s="217" t="s">
        <v>4</v>
      </c>
      <c r="E955" s="217">
        <f>SUM(E952:E954)</f>
        <v>731</v>
      </c>
      <c r="H955" s="217" t="s">
        <v>4</v>
      </c>
      <c r="I955" s="217">
        <f>SUM(I952:I954)</f>
        <v>654</v>
      </c>
    </row>
    <row r="957" spans="4:9">
      <c r="D957" s="669" t="s">
        <v>0</v>
      </c>
      <c r="E957" s="670"/>
      <c r="H957" s="669" t="s">
        <v>0</v>
      </c>
      <c r="I957" s="670"/>
    </row>
    <row r="958" spans="4:9">
      <c r="D958" s="281" t="s">
        <v>1</v>
      </c>
      <c r="E958" s="2">
        <v>45794</v>
      </c>
      <c r="H958" s="281" t="s">
        <v>1</v>
      </c>
      <c r="I958" s="2">
        <v>45796</v>
      </c>
    </row>
    <row r="959" spans="4:9">
      <c r="D959" s="281" t="s">
        <v>2</v>
      </c>
      <c r="E959" s="281" t="s">
        <v>3</v>
      </c>
      <c r="H959" s="281" t="s">
        <v>2</v>
      </c>
      <c r="I959" s="281" t="s">
        <v>3</v>
      </c>
    </row>
    <row r="960" spans="4:9">
      <c r="D960" s="5" t="s">
        <v>241</v>
      </c>
      <c r="E960" s="3">
        <v>250</v>
      </c>
      <c r="H960" s="5" t="s">
        <v>245</v>
      </c>
      <c r="I960" s="3">
        <v>398</v>
      </c>
    </row>
    <row r="961" spans="4:9">
      <c r="D961" s="5" t="s">
        <v>245</v>
      </c>
      <c r="E961" s="4">
        <v>73</v>
      </c>
      <c r="H961" s="5" t="s">
        <v>241</v>
      </c>
      <c r="I961" s="4">
        <v>272</v>
      </c>
    </row>
    <row r="962" spans="4:9">
      <c r="D962" s="5"/>
      <c r="E962" s="4"/>
      <c r="H962" s="5"/>
      <c r="I962" s="4"/>
    </row>
    <row r="963" spans="4:9">
      <c r="D963" s="217" t="s">
        <v>4</v>
      </c>
      <c r="E963" s="217">
        <f>SUM(E960:E962)</f>
        <v>323</v>
      </c>
      <c r="H963" s="217" t="s">
        <v>4</v>
      </c>
      <c r="I963" s="217">
        <f>SUM(I960:I962)</f>
        <v>670</v>
      </c>
    </row>
    <row r="965" spans="4:9">
      <c r="D965" s="669" t="s">
        <v>0</v>
      </c>
      <c r="E965" s="670"/>
      <c r="H965" s="669" t="s">
        <v>0</v>
      </c>
      <c r="I965" s="670"/>
    </row>
    <row r="966" spans="4:9">
      <c r="D966" s="282" t="s">
        <v>1</v>
      </c>
      <c r="E966" s="2">
        <v>45797</v>
      </c>
      <c r="H966" s="282" t="s">
        <v>1</v>
      </c>
      <c r="I966" s="2">
        <v>45798</v>
      </c>
    </row>
    <row r="967" spans="4:9">
      <c r="D967" s="282" t="s">
        <v>2</v>
      </c>
      <c r="E967" s="282" t="s">
        <v>3</v>
      </c>
      <c r="H967" s="282" t="s">
        <v>2</v>
      </c>
      <c r="I967" s="282" t="s">
        <v>3</v>
      </c>
    </row>
    <row r="968" spans="4:9">
      <c r="D968" s="5" t="s">
        <v>5</v>
      </c>
      <c r="E968" s="3">
        <v>445</v>
      </c>
      <c r="H968" s="5" t="s">
        <v>159</v>
      </c>
      <c r="I968" s="3">
        <v>400</v>
      </c>
    </row>
    <row r="969" spans="4:9">
      <c r="D969" s="5" t="s">
        <v>15</v>
      </c>
      <c r="E969" s="4">
        <v>400</v>
      </c>
      <c r="H969" s="5" t="s">
        <v>131</v>
      </c>
      <c r="I969" s="4">
        <v>605</v>
      </c>
    </row>
    <row r="970" spans="4:9">
      <c r="D970" s="5"/>
      <c r="E970" s="4"/>
      <c r="H970" s="5"/>
      <c r="I970" s="4"/>
    </row>
    <row r="971" spans="4:9">
      <c r="D971" s="217" t="s">
        <v>4</v>
      </c>
      <c r="E971" s="217">
        <f>SUM(E968:E970)</f>
        <v>845</v>
      </c>
      <c r="H971" s="217" t="s">
        <v>4</v>
      </c>
      <c r="I971" s="217">
        <f>SUM(I968:I970)</f>
        <v>1005</v>
      </c>
    </row>
    <row r="973" spans="4:9">
      <c r="D973" s="669" t="s">
        <v>0</v>
      </c>
      <c r="E973" s="670"/>
      <c r="H973" s="669" t="s">
        <v>0</v>
      </c>
      <c r="I973" s="670"/>
    </row>
    <row r="974" spans="4:9">
      <c r="D974" s="282" t="s">
        <v>1</v>
      </c>
      <c r="E974" s="2">
        <v>45799</v>
      </c>
      <c r="H974" s="282" t="s">
        <v>1</v>
      </c>
      <c r="I974" s="2">
        <v>45800</v>
      </c>
    </row>
    <row r="975" spans="4:9">
      <c r="D975" s="282" t="s">
        <v>2</v>
      </c>
      <c r="E975" s="282" t="s">
        <v>3</v>
      </c>
      <c r="H975" s="282" t="s">
        <v>2</v>
      </c>
      <c r="I975" s="282" t="s">
        <v>3</v>
      </c>
    </row>
    <row r="976" spans="4:9">
      <c r="D976" s="5" t="s">
        <v>131</v>
      </c>
      <c r="E976" s="3">
        <v>256</v>
      </c>
      <c r="H976" s="5" t="s">
        <v>25</v>
      </c>
      <c r="I976" s="3">
        <v>382</v>
      </c>
    </row>
    <row r="977" spans="4:9">
      <c r="D977" s="5" t="s">
        <v>25</v>
      </c>
      <c r="E977" s="4">
        <v>1286</v>
      </c>
      <c r="H977" s="5" t="s">
        <v>145</v>
      </c>
      <c r="I977" s="4">
        <v>1595</v>
      </c>
    </row>
    <row r="978" spans="4:9">
      <c r="D978" s="5"/>
      <c r="E978" s="4"/>
      <c r="H978" s="5"/>
      <c r="I978" s="4"/>
    </row>
    <row r="979" spans="4:9">
      <c r="D979" s="217" t="s">
        <v>4</v>
      </c>
      <c r="E979" s="217">
        <f>SUM(E976:E978)</f>
        <v>1542</v>
      </c>
      <c r="H979" s="217" t="s">
        <v>4</v>
      </c>
      <c r="I979" s="217">
        <f>SUM(I976:I978)</f>
        <v>1977</v>
      </c>
    </row>
    <row r="981" spans="4:9">
      <c r="D981" s="669" t="s">
        <v>0</v>
      </c>
      <c r="E981" s="670"/>
      <c r="H981" s="669" t="s">
        <v>0</v>
      </c>
      <c r="I981" s="670"/>
    </row>
    <row r="982" spans="4:9">
      <c r="D982" s="282" t="s">
        <v>1</v>
      </c>
      <c r="E982" s="2">
        <v>45803</v>
      </c>
      <c r="H982" s="282" t="s">
        <v>1</v>
      </c>
      <c r="I982" s="2">
        <v>45804</v>
      </c>
    </row>
    <row r="983" spans="4:9">
      <c r="D983" s="282" t="s">
        <v>2</v>
      </c>
      <c r="E983" s="282" t="s">
        <v>3</v>
      </c>
      <c r="H983" s="282" t="s">
        <v>2</v>
      </c>
      <c r="I983" s="282" t="s">
        <v>3</v>
      </c>
    </row>
    <row r="984" spans="4:9">
      <c r="D984" s="5" t="s">
        <v>246</v>
      </c>
      <c r="E984" s="3">
        <v>749</v>
      </c>
      <c r="H984" s="5" t="s">
        <v>245</v>
      </c>
      <c r="I984" s="3">
        <v>98</v>
      </c>
    </row>
    <row r="985" spans="4:9">
      <c r="D985" s="5" t="s">
        <v>245</v>
      </c>
      <c r="E985" s="4">
        <v>427</v>
      </c>
      <c r="H985" s="5" t="s">
        <v>241</v>
      </c>
      <c r="I985" s="4">
        <v>538</v>
      </c>
    </row>
    <row r="986" spans="4:9">
      <c r="D986" s="5"/>
      <c r="E986" s="4"/>
      <c r="H986" s="5" t="s">
        <v>247</v>
      </c>
      <c r="I986" s="4">
        <v>35</v>
      </c>
    </row>
    <row r="987" spans="4:9">
      <c r="D987" s="217" t="s">
        <v>4</v>
      </c>
      <c r="E987" s="217">
        <f>SUM(E984:E986)</f>
        <v>1176</v>
      </c>
      <c r="H987" s="217" t="s">
        <v>4</v>
      </c>
      <c r="I987" s="217">
        <f>SUM(I984:I986)</f>
        <v>671</v>
      </c>
    </row>
    <row r="989" spans="4:9">
      <c r="D989" s="669" t="s">
        <v>0</v>
      </c>
      <c r="E989" s="670"/>
      <c r="H989" s="669" t="s">
        <v>0</v>
      </c>
      <c r="I989" s="670"/>
    </row>
    <row r="990" spans="4:9">
      <c r="D990" s="283" t="s">
        <v>1</v>
      </c>
      <c r="E990" s="2">
        <v>45805</v>
      </c>
      <c r="H990" s="283" t="s">
        <v>1</v>
      </c>
      <c r="I990" s="2">
        <v>45806</v>
      </c>
    </row>
    <row r="991" spans="4:9">
      <c r="D991" s="283" t="s">
        <v>2</v>
      </c>
      <c r="E991" s="283" t="s">
        <v>3</v>
      </c>
      <c r="H991" s="283" t="s">
        <v>2</v>
      </c>
      <c r="I991" s="283" t="s">
        <v>3</v>
      </c>
    </row>
    <row r="992" spans="4:9">
      <c r="D992" s="5" t="s">
        <v>248</v>
      </c>
      <c r="E992" s="3">
        <v>394</v>
      </c>
      <c r="H992" s="5" t="s">
        <v>250</v>
      </c>
      <c r="I992" s="3">
        <v>800</v>
      </c>
    </row>
    <row r="993" spans="4:9">
      <c r="D993" s="5" t="s">
        <v>249</v>
      </c>
      <c r="E993" s="4">
        <v>275</v>
      </c>
      <c r="H993" s="5"/>
      <c r="I993" s="4"/>
    </row>
    <row r="994" spans="4:9">
      <c r="D994" s="5"/>
      <c r="E994" s="4"/>
      <c r="H994" s="5"/>
      <c r="I994" s="4"/>
    </row>
    <row r="995" spans="4:9">
      <c r="D995" s="217" t="s">
        <v>4</v>
      </c>
      <c r="E995" s="217">
        <f>SUM(E992:E994)</f>
        <v>669</v>
      </c>
      <c r="H995" s="217" t="s">
        <v>4</v>
      </c>
      <c r="I995" s="217">
        <f>SUM(I992:I994)</f>
        <v>800</v>
      </c>
    </row>
    <row r="997" spans="4:9">
      <c r="D997" s="669" t="s">
        <v>0</v>
      </c>
      <c r="E997" s="670"/>
      <c r="H997" s="669" t="s">
        <v>0</v>
      </c>
      <c r="I997" s="670"/>
    </row>
    <row r="998" spans="4:9">
      <c r="D998" s="284" t="s">
        <v>1</v>
      </c>
      <c r="E998" s="2">
        <v>45807</v>
      </c>
      <c r="H998" s="284" t="s">
        <v>1</v>
      </c>
      <c r="I998" s="2">
        <v>45811</v>
      </c>
    </row>
    <row r="999" spans="4:9">
      <c r="D999" s="284" t="s">
        <v>2</v>
      </c>
      <c r="E999" s="284" t="s">
        <v>3</v>
      </c>
      <c r="H999" s="284" t="s">
        <v>2</v>
      </c>
      <c r="I999" s="284" t="s">
        <v>3</v>
      </c>
    </row>
    <row r="1000" spans="4:9">
      <c r="D1000" s="5" t="s">
        <v>204</v>
      </c>
      <c r="E1000" s="3">
        <v>800</v>
      </c>
      <c r="H1000" s="5" t="s">
        <v>251</v>
      </c>
      <c r="I1000" s="3">
        <v>250</v>
      </c>
    </row>
    <row r="1001" spans="4:9">
      <c r="D1001" s="5"/>
      <c r="E1001" s="4"/>
      <c r="H1001" s="5"/>
      <c r="I1001" s="4"/>
    </row>
    <row r="1002" spans="4:9">
      <c r="D1002" s="5"/>
      <c r="E1002" s="4"/>
      <c r="H1002" s="5"/>
      <c r="I1002" s="4"/>
    </row>
    <row r="1003" spans="4:9">
      <c r="D1003" s="217" t="s">
        <v>4</v>
      </c>
      <c r="E1003" s="217">
        <f>SUM(E1000:E1002)</f>
        <v>800</v>
      </c>
      <c r="H1003" s="217" t="s">
        <v>4</v>
      </c>
      <c r="I1003" s="217">
        <f>SUM(I1000:I1002)</f>
        <v>250</v>
      </c>
    </row>
    <row r="1005" spans="4:9">
      <c r="D1005" s="669" t="s">
        <v>0</v>
      </c>
      <c r="E1005" s="670"/>
      <c r="H1005" s="669" t="s">
        <v>0</v>
      </c>
      <c r="I1005" s="670"/>
    </row>
    <row r="1006" spans="4:9">
      <c r="D1006" s="285" t="s">
        <v>1</v>
      </c>
      <c r="E1006" s="2">
        <v>45812</v>
      </c>
      <c r="H1006" s="285" t="s">
        <v>1</v>
      </c>
      <c r="I1006" s="2">
        <v>45813</v>
      </c>
    </row>
    <row r="1007" spans="4:9">
      <c r="D1007" s="285" t="s">
        <v>2</v>
      </c>
      <c r="E1007" s="285" t="s">
        <v>3</v>
      </c>
      <c r="H1007" s="285" t="s">
        <v>2</v>
      </c>
      <c r="I1007" s="285" t="s">
        <v>3</v>
      </c>
    </row>
    <row r="1008" spans="4:9">
      <c r="D1008" s="5" t="s">
        <v>251</v>
      </c>
      <c r="E1008" s="3">
        <v>150</v>
      </c>
      <c r="H1008" s="5" t="s">
        <v>15</v>
      </c>
      <c r="I1008" s="3">
        <v>380</v>
      </c>
    </row>
    <row r="1009" spans="4:9">
      <c r="D1009" s="5" t="s">
        <v>252</v>
      </c>
      <c r="E1009" s="4">
        <v>400</v>
      </c>
      <c r="H1009" s="5" t="s">
        <v>159</v>
      </c>
      <c r="I1009" s="4">
        <v>309</v>
      </c>
    </row>
    <row r="1010" spans="4:9">
      <c r="D1010" s="5" t="s">
        <v>15</v>
      </c>
      <c r="E1010" s="4">
        <v>20</v>
      </c>
      <c r="H1010" s="5"/>
      <c r="I1010" s="4"/>
    </row>
    <row r="1011" spans="4:9">
      <c r="D1011" s="217" t="s">
        <v>4</v>
      </c>
      <c r="E1011" s="217">
        <f>SUM(E1008:E1010)</f>
        <v>570</v>
      </c>
      <c r="H1011" s="217" t="s">
        <v>4</v>
      </c>
      <c r="I1011" s="217">
        <f>SUM(I1008:I1010)</f>
        <v>689</v>
      </c>
    </row>
    <row r="1013" spans="4:9">
      <c r="D1013" s="669" t="s">
        <v>0</v>
      </c>
      <c r="E1013" s="670"/>
      <c r="H1013" s="669" t="s">
        <v>0</v>
      </c>
      <c r="I1013" s="670"/>
    </row>
    <row r="1014" spans="4:9">
      <c r="D1014" s="285" t="s">
        <v>1</v>
      </c>
      <c r="E1014" s="2">
        <v>45814</v>
      </c>
      <c r="H1014" s="285" t="s">
        <v>1</v>
      </c>
      <c r="I1014" s="2">
        <v>45817</v>
      </c>
    </row>
    <row r="1015" spans="4:9">
      <c r="D1015" s="285" t="s">
        <v>2</v>
      </c>
      <c r="E1015" s="285" t="s">
        <v>3</v>
      </c>
      <c r="H1015" s="285" t="s">
        <v>2</v>
      </c>
      <c r="I1015" s="285" t="s">
        <v>3</v>
      </c>
    </row>
    <row r="1016" spans="4:9">
      <c r="D1016" s="5" t="s">
        <v>159</v>
      </c>
      <c r="E1016" s="3">
        <v>91</v>
      </c>
      <c r="H1016" s="5" t="s">
        <v>253</v>
      </c>
      <c r="I1016" s="3">
        <v>365</v>
      </c>
    </row>
    <row r="1017" spans="4:9">
      <c r="D1017" s="5" t="s">
        <v>253</v>
      </c>
      <c r="E1017" s="4">
        <v>435</v>
      </c>
      <c r="H1017" s="5" t="s">
        <v>6</v>
      </c>
      <c r="I1017" s="4">
        <v>365</v>
      </c>
    </row>
    <row r="1018" spans="4:9">
      <c r="D1018" s="5"/>
      <c r="E1018" s="4"/>
      <c r="H1018" s="5"/>
      <c r="I1018" s="4"/>
    </row>
    <row r="1019" spans="4:9">
      <c r="D1019" s="217" t="s">
        <v>4</v>
      </c>
      <c r="E1019" s="217">
        <f>SUM(E1016:E1018)</f>
        <v>526</v>
      </c>
      <c r="H1019" s="217" t="s">
        <v>4</v>
      </c>
      <c r="I1019" s="217">
        <f>SUM(I1016:I1018)</f>
        <v>730</v>
      </c>
    </row>
    <row r="1021" spans="4:9">
      <c r="D1021" s="669" t="s">
        <v>0</v>
      </c>
      <c r="E1021" s="670"/>
      <c r="H1021" s="669" t="s">
        <v>0</v>
      </c>
      <c r="I1021" s="670"/>
    </row>
    <row r="1022" spans="4:9">
      <c r="D1022" s="286" t="s">
        <v>1</v>
      </c>
      <c r="E1022" s="2">
        <v>45818</v>
      </c>
      <c r="H1022" s="286" t="s">
        <v>1</v>
      </c>
      <c r="I1022" s="2">
        <v>45819</v>
      </c>
    </row>
    <row r="1023" spans="4:9">
      <c r="D1023" s="286" t="s">
        <v>2</v>
      </c>
      <c r="E1023" s="286" t="s">
        <v>3</v>
      </c>
      <c r="H1023" s="286" t="s">
        <v>2</v>
      </c>
      <c r="I1023" s="286" t="s">
        <v>3</v>
      </c>
    </row>
    <row r="1024" spans="4:9">
      <c r="D1024" s="5" t="s">
        <v>6</v>
      </c>
      <c r="E1024" s="3">
        <v>835</v>
      </c>
      <c r="H1024" s="5" t="s">
        <v>34</v>
      </c>
      <c r="I1024" s="3">
        <v>403</v>
      </c>
    </row>
    <row r="1025" spans="4:9">
      <c r="D1025" s="5"/>
      <c r="E1025" s="4"/>
      <c r="H1025" s="5" t="s">
        <v>35</v>
      </c>
      <c r="I1025" s="4">
        <v>275</v>
      </c>
    </row>
    <row r="1026" spans="4:9">
      <c r="D1026" s="5"/>
      <c r="E1026" s="4"/>
      <c r="H1026" s="5"/>
      <c r="I1026" s="4"/>
    </row>
    <row r="1027" spans="4:9">
      <c r="D1027" s="217" t="s">
        <v>4</v>
      </c>
      <c r="E1027" s="217">
        <f>SUM(E1024:E1026)</f>
        <v>835</v>
      </c>
      <c r="H1027" s="217" t="s">
        <v>4</v>
      </c>
      <c r="I1027" s="217">
        <f>SUM(I1024:I1026)</f>
        <v>678</v>
      </c>
    </row>
    <row r="1029" spans="4:9">
      <c r="D1029" s="669" t="s">
        <v>0</v>
      </c>
      <c r="E1029" s="670"/>
      <c r="H1029" s="669" t="s">
        <v>0</v>
      </c>
      <c r="I1029" s="670"/>
    </row>
    <row r="1030" spans="4:9">
      <c r="D1030" s="287" t="s">
        <v>1</v>
      </c>
      <c r="E1030" s="2">
        <v>45820</v>
      </c>
      <c r="H1030" s="287" t="s">
        <v>1</v>
      </c>
      <c r="I1030" s="2">
        <v>45821</v>
      </c>
    </row>
    <row r="1031" spans="4:9">
      <c r="D1031" s="287" t="s">
        <v>2</v>
      </c>
      <c r="E1031" s="287" t="s">
        <v>3</v>
      </c>
      <c r="H1031" s="287" t="s">
        <v>2</v>
      </c>
      <c r="I1031" s="287" t="s">
        <v>3</v>
      </c>
    </row>
    <row r="1032" spans="4:9">
      <c r="D1032" s="5" t="s">
        <v>35</v>
      </c>
      <c r="E1032" s="3">
        <v>155</v>
      </c>
      <c r="H1032" s="5" t="s">
        <v>20</v>
      </c>
      <c r="I1032" s="3">
        <v>296</v>
      </c>
    </row>
    <row r="1033" spans="4:9">
      <c r="D1033" s="5" t="s">
        <v>20</v>
      </c>
      <c r="E1033" s="4">
        <v>504</v>
      </c>
      <c r="H1033" s="5" t="s">
        <v>254</v>
      </c>
      <c r="I1033" s="4">
        <v>222</v>
      </c>
    </row>
    <row r="1034" spans="4:9">
      <c r="D1034" s="5"/>
      <c r="E1034" s="4"/>
      <c r="H1034" s="5"/>
      <c r="I1034" s="4"/>
    </row>
    <row r="1035" spans="4:9">
      <c r="D1035" s="217" t="s">
        <v>4</v>
      </c>
      <c r="E1035" s="217">
        <f>SUM(E1032:E1034)</f>
        <v>659</v>
      </c>
      <c r="H1035" s="217" t="s">
        <v>4</v>
      </c>
      <c r="I1035" s="217">
        <f>SUM(I1032:I1034)</f>
        <v>518</v>
      </c>
    </row>
    <row r="1037" spans="4:9">
      <c r="D1037" s="669" t="s">
        <v>0</v>
      </c>
      <c r="E1037" s="670"/>
      <c r="H1037" s="669" t="s">
        <v>0</v>
      </c>
      <c r="I1037" s="670"/>
    </row>
    <row r="1038" spans="4:9">
      <c r="D1038" s="288" t="s">
        <v>1</v>
      </c>
      <c r="E1038" s="2">
        <v>45824</v>
      </c>
      <c r="H1038" s="288" t="s">
        <v>1</v>
      </c>
      <c r="I1038" s="2">
        <v>45825</v>
      </c>
    </row>
    <row r="1039" spans="4:9">
      <c r="D1039" s="288" t="s">
        <v>2</v>
      </c>
      <c r="E1039" s="288" t="s">
        <v>3</v>
      </c>
      <c r="H1039" s="288" t="s">
        <v>2</v>
      </c>
      <c r="I1039" s="288" t="s">
        <v>3</v>
      </c>
    </row>
    <row r="1040" spans="4:9">
      <c r="D1040" s="5" t="s">
        <v>254</v>
      </c>
      <c r="E1040" s="3">
        <v>578</v>
      </c>
      <c r="H1040" s="5" t="s">
        <v>252</v>
      </c>
      <c r="I1040" s="3">
        <v>404</v>
      </c>
    </row>
    <row r="1041" spans="4:9">
      <c r="D1041" s="5" t="s">
        <v>252</v>
      </c>
      <c r="E1041" s="4">
        <v>153</v>
      </c>
      <c r="H1041" s="5" t="s">
        <v>251</v>
      </c>
      <c r="I1041" s="4">
        <v>458</v>
      </c>
    </row>
    <row r="1042" spans="4:9">
      <c r="D1042" s="5"/>
      <c r="E1042" s="4"/>
      <c r="H1042" s="5"/>
      <c r="I1042" s="4"/>
    </row>
    <row r="1043" spans="4:9">
      <c r="D1043" s="217" t="s">
        <v>4</v>
      </c>
      <c r="E1043" s="217">
        <f>SUM(E1040:E1042)</f>
        <v>731</v>
      </c>
      <c r="H1043" s="217" t="s">
        <v>4</v>
      </c>
      <c r="I1043" s="217">
        <f>SUM(I1040:I1042)</f>
        <v>862</v>
      </c>
    </row>
    <row r="1045" spans="4:9">
      <c r="D1045" s="669" t="s">
        <v>0</v>
      </c>
      <c r="E1045" s="670"/>
      <c r="H1045" s="669" t="s">
        <v>0</v>
      </c>
      <c r="I1045" s="670"/>
    </row>
    <row r="1046" spans="4:9">
      <c r="D1046" s="289" t="s">
        <v>1</v>
      </c>
      <c r="E1046" s="2">
        <v>45826</v>
      </c>
      <c r="H1046" s="289" t="s">
        <v>1</v>
      </c>
      <c r="I1046" s="2">
        <v>45827</v>
      </c>
    </row>
    <row r="1047" spans="4:9">
      <c r="D1047" s="289" t="s">
        <v>2</v>
      </c>
      <c r="E1047" s="289" t="s">
        <v>3</v>
      </c>
      <c r="H1047" s="289" t="s">
        <v>2</v>
      </c>
      <c r="I1047" s="289" t="s">
        <v>3</v>
      </c>
    </row>
    <row r="1048" spans="4:9">
      <c r="D1048" s="5" t="s">
        <v>251</v>
      </c>
      <c r="E1048" s="3">
        <v>749</v>
      </c>
      <c r="H1048" s="5" t="s">
        <v>252</v>
      </c>
      <c r="I1048" s="3">
        <v>643</v>
      </c>
    </row>
    <row r="1049" spans="4:9">
      <c r="D1049" s="5"/>
      <c r="E1049" s="4"/>
      <c r="H1049" s="5"/>
      <c r="I1049" s="4"/>
    </row>
    <row r="1050" spans="4:9">
      <c r="D1050" s="5"/>
      <c r="E1050" s="4"/>
      <c r="H1050" s="5"/>
      <c r="I1050" s="4"/>
    </row>
    <row r="1051" spans="4:9">
      <c r="D1051" s="217" t="s">
        <v>4</v>
      </c>
      <c r="E1051" s="217">
        <f>SUM(E1048:E1050)</f>
        <v>749</v>
      </c>
      <c r="H1051" s="217" t="s">
        <v>4</v>
      </c>
      <c r="I1051" s="217">
        <f>SUM(I1048:I1050)</f>
        <v>643</v>
      </c>
    </row>
    <row r="1053" spans="4:9">
      <c r="D1053" s="669" t="s">
        <v>0</v>
      </c>
      <c r="E1053" s="670"/>
      <c r="H1053" s="669" t="s">
        <v>0</v>
      </c>
      <c r="I1053" s="670"/>
    </row>
    <row r="1054" spans="4:9">
      <c r="D1054" s="290" t="s">
        <v>1</v>
      </c>
      <c r="E1054" s="2">
        <v>45828</v>
      </c>
      <c r="H1054" s="290" t="s">
        <v>1</v>
      </c>
      <c r="I1054" s="2">
        <v>45832</v>
      </c>
    </row>
    <row r="1055" spans="4:9">
      <c r="D1055" s="290" t="s">
        <v>2</v>
      </c>
      <c r="E1055" s="290" t="s">
        <v>3</v>
      </c>
      <c r="H1055" s="290" t="s">
        <v>2</v>
      </c>
      <c r="I1055" s="290" t="s">
        <v>3</v>
      </c>
    </row>
    <row r="1056" spans="4:9">
      <c r="D1056" s="5" t="s">
        <v>5</v>
      </c>
      <c r="E1056" s="3">
        <v>400</v>
      </c>
      <c r="H1056" s="5" t="s">
        <v>182</v>
      </c>
      <c r="I1056" s="3">
        <v>227</v>
      </c>
    </row>
    <row r="1057" spans="4:9">
      <c r="D1057" s="5" t="s">
        <v>182</v>
      </c>
      <c r="E1057" s="4">
        <v>173</v>
      </c>
      <c r="H1057" s="5" t="s">
        <v>159</v>
      </c>
      <c r="I1057" s="4">
        <v>400</v>
      </c>
    </row>
    <row r="1058" spans="4:9">
      <c r="D1058" s="5"/>
      <c r="E1058" s="4"/>
      <c r="H1058" s="5"/>
      <c r="I1058" s="4"/>
    </row>
    <row r="1059" spans="4:9">
      <c r="D1059" s="217" t="s">
        <v>4</v>
      </c>
      <c r="E1059" s="217">
        <f>SUM(E1056:E1058)</f>
        <v>573</v>
      </c>
      <c r="H1059" s="217" t="s">
        <v>4</v>
      </c>
      <c r="I1059" s="217">
        <f>SUM(I1056:I1058)</f>
        <v>627</v>
      </c>
    </row>
    <row r="1061" spans="4:9">
      <c r="D1061" s="671" t="s">
        <v>0</v>
      </c>
      <c r="E1061" s="672"/>
      <c r="H1061" s="669" t="s">
        <v>0</v>
      </c>
      <c r="I1061" s="670"/>
    </row>
    <row r="1062" spans="4:9">
      <c r="D1062" s="366" t="s">
        <v>1</v>
      </c>
      <c r="E1062" s="367">
        <v>45833</v>
      </c>
      <c r="H1062" s="291" t="s">
        <v>1</v>
      </c>
      <c r="I1062" s="2">
        <v>45834</v>
      </c>
    </row>
    <row r="1063" spans="4:9">
      <c r="D1063" s="366" t="s">
        <v>2</v>
      </c>
      <c r="E1063" s="366" t="s">
        <v>3</v>
      </c>
      <c r="H1063" s="291" t="s">
        <v>2</v>
      </c>
      <c r="I1063" s="291" t="s">
        <v>3</v>
      </c>
    </row>
    <row r="1064" spans="4:9">
      <c r="D1064" s="368" t="s">
        <v>347</v>
      </c>
      <c r="E1064" s="369">
        <v>400</v>
      </c>
      <c r="H1064" s="5" t="s">
        <v>255</v>
      </c>
      <c r="I1064" s="3">
        <v>432</v>
      </c>
    </row>
    <row r="1065" spans="4:9">
      <c r="D1065" s="368" t="s">
        <v>348</v>
      </c>
      <c r="E1065" s="370">
        <v>400</v>
      </c>
      <c r="H1065" s="5"/>
      <c r="I1065" s="4"/>
    </row>
    <row r="1066" spans="4:9">
      <c r="D1066" s="368"/>
      <c r="E1066" s="370"/>
      <c r="H1066" s="5"/>
      <c r="I1066" s="4"/>
    </row>
    <row r="1067" spans="4:9">
      <c r="D1067" s="371" t="s">
        <v>4</v>
      </c>
      <c r="E1067" s="371">
        <f>SUM(E1064:E1066)</f>
        <v>800</v>
      </c>
      <c r="H1067" s="217" t="s">
        <v>4</v>
      </c>
      <c r="I1067" s="217">
        <f>SUM(I1064:I1066)</f>
        <v>432</v>
      </c>
    </row>
    <row r="1069" spans="4:9">
      <c r="D1069" s="669" t="s">
        <v>0</v>
      </c>
      <c r="E1069" s="670"/>
      <c r="H1069" s="669" t="s">
        <v>0</v>
      </c>
      <c r="I1069" s="670"/>
    </row>
    <row r="1070" spans="4:9">
      <c r="D1070" s="292" t="s">
        <v>1</v>
      </c>
      <c r="E1070" s="2">
        <v>45835</v>
      </c>
      <c r="H1070" s="292" t="s">
        <v>1</v>
      </c>
      <c r="I1070" s="2">
        <v>45839</v>
      </c>
    </row>
    <row r="1071" spans="4:9">
      <c r="D1071" s="292" t="s">
        <v>2</v>
      </c>
      <c r="E1071" s="292" t="s">
        <v>3</v>
      </c>
      <c r="H1071" s="292" t="s">
        <v>2</v>
      </c>
      <c r="I1071" s="292" t="s">
        <v>3</v>
      </c>
    </row>
    <row r="1072" spans="4:9">
      <c r="D1072" s="5" t="s">
        <v>349</v>
      </c>
      <c r="E1072" s="3">
        <v>609</v>
      </c>
      <c r="H1072" s="5" t="s">
        <v>349</v>
      </c>
      <c r="I1072" s="3">
        <v>160</v>
      </c>
    </row>
    <row r="1073" spans="4:9">
      <c r="D1073" s="5"/>
      <c r="E1073" s="4"/>
      <c r="H1073" s="5" t="s">
        <v>20</v>
      </c>
      <c r="I1073" s="4">
        <v>413</v>
      </c>
    </row>
    <row r="1074" spans="4:9">
      <c r="D1074" s="5"/>
      <c r="E1074" s="4"/>
      <c r="H1074" s="5"/>
      <c r="I1074" s="4"/>
    </row>
    <row r="1075" spans="4:9">
      <c r="D1075" s="217" t="s">
        <v>4</v>
      </c>
      <c r="E1075" s="217">
        <f>SUM(E1072:E1074)</f>
        <v>609</v>
      </c>
      <c r="H1075" s="217" t="s">
        <v>4</v>
      </c>
      <c r="I1075" s="217">
        <f>SUM(I1072:I1074)</f>
        <v>573</v>
      </c>
    </row>
    <row r="1077" spans="4:9">
      <c r="D1077" s="669" t="s">
        <v>0</v>
      </c>
      <c r="E1077" s="670"/>
      <c r="H1077" s="669" t="s">
        <v>0</v>
      </c>
      <c r="I1077" s="670"/>
    </row>
    <row r="1078" spans="4:9">
      <c r="D1078" s="293" t="s">
        <v>1</v>
      </c>
      <c r="E1078" s="2">
        <v>45840</v>
      </c>
      <c r="H1078" s="293" t="s">
        <v>1</v>
      </c>
      <c r="I1078" s="2">
        <v>45841</v>
      </c>
    </row>
    <row r="1079" spans="4:9">
      <c r="D1079" s="293" t="s">
        <v>2</v>
      </c>
      <c r="E1079" s="293" t="s">
        <v>3</v>
      </c>
      <c r="H1079" s="293" t="s">
        <v>2</v>
      </c>
      <c r="I1079" s="293" t="s">
        <v>3</v>
      </c>
    </row>
    <row r="1080" spans="4:9">
      <c r="D1080" s="5" t="s">
        <v>20</v>
      </c>
      <c r="E1080" s="3">
        <v>389</v>
      </c>
      <c r="H1080" s="5" t="s">
        <v>256</v>
      </c>
      <c r="I1080" s="3">
        <v>227</v>
      </c>
    </row>
    <row r="1081" spans="4:9">
      <c r="D1081" s="5" t="s">
        <v>256</v>
      </c>
      <c r="E1081" s="4">
        <v>192</v>
      </c>
      <c r="H1081" s="5" t="s">
        <v>121</v>
      </c>
      <c r="I1081" s="4">
        <v>113</v>
      </c>
    </row>
    <row r="1082" spans="4:9">
      <c r="D1082" s="5"/>
      <c r="E1082" s="4"/>
      <c r="H1082" s="5"/>
      <c r="I1082" s="4"/>
    </row>
    <row r="1083" spans="4:9">
      <c r="D1083" s="217" t="s">
        <v>4</v>
      </c>
      <c r="E1083" s="217">
        <f>SUM(E1080:E1082)</f>
        <v>581</v>
      </c>
      <c r="H1083" s="217" t="s">
        <v>4</v>
      </c>
      <c r="I1083" s="217">
        <f>SUM(I1080:I1082)</f>
        <v>340</v>
      </c>
    </row>
    <row r="1085" spans="4:9">
      <c r="D1085" s="669" t="s">
        <v>0</v>
      </c>
      <c r="E1085" s="670"/>
      <c r="H1085" s="669" t="s">
        <v>0</v>
      </c>
      <c r="I1085" s="670"/>
    </row>
    <row r="1086" spans="4:9">
      <c r="D1086" s="293" t="s">
        <v>1</v>
      </c>
      <c r="E1086" s="2">
        <v>45842</v>
      </c>
      <c r="H1086" s="293" t="s">
        <v>1</v>
      </c>
      <c r="I1086" s="2">
        <v>45845</v>
      </c>
    </row>
    <row r="1087" spans="4:9">
      <c r="D1087" s="293" t="s">
        <v>2</v>
      </c>
      <c r="E1087" s="293" t="s">
        <v>3</v>
      </c>
      <c r="H1087" s="293" t="s">
        <v>2</v>
      </c>
      <c r="I1087" s="293" t="s">
        <v>3</v>
      </c>
    </row>
    <row r="1088" spans="4:9">
      <c r="D1088" s="5" t="s">
        <v>257</v>
      </c>
      <c r="E1088" s="3">
        <v>34</v>
      </c>
      <c r="H1088" s="5" t="s">
        <v>121</v>
      </c>
      <c r="I1088" s="3">
        <v>1507</v>
      </c>
    </row>
    <row r="1089" spans="4:9">
      <c r="D1089" s="5"/>
      <c r="E1089" s="4"/>
      <c r="H1089" s="5"/>
      <c r="I1089" s="4"/>
    </row>
    <row r="1090" spans="4:9">
      <c r="D1090" s="5"/>
      <c r="E1090" s="4"/>
      <c r="H1090" s="5"/>
      <c r="I1090" s="4"/>
    </row>
    <row r="1091" spans="4:9">
      <c r="D1091" s="217" t="s">
        <v>4</v>
      </c>
      <c r="E1091" s="217">
        <f>SUM(E1088:E1090)</f>
        <v>34</v>
      </c>
      <c r="H1091" s="217" t="s">
        <v>4</v>
      </c>
      <c r="I1091" s="217">
        <f>SUM(I1088:I1090)</f>
        <v>1507</v>
      </c>
    </row>
    <row r="1093" spans="4:9">
      <c r="D1093" s="669" t="s">
        <v>0</v>
      </c>
      <c r="E1093" s="670"/>
      <c r="H1093" s="669" t="s">
        <v>0</v>
      </c>
      <c r="I1093" s="670"/>
    </row>
    <row r="1094" spans="4:9">
      <c r="D1094" s="294" t="s">
        <v>1</v>
      </c>
      <c r="E1094" s="2">
        <v>45846</v>
      </c>
      <c r="H1094" s="294" t="s">
        <v>1</v>
      </c>
      <c r="I1094" s="2">
        <v>45847</v>
      </c>
    </row>
    <row r="1095" spans="4:9">
      <c r="D1095" s="294" t="s">
        <v>2</v>
      </c>
      <c r="E1095" s="294" t="s">
        <v>3</v>
      </c>
      <c r="H1095" s="294" t="s">
        <v>2</v>
      </c>
      <c r="I1095" s="294" t="s">
        <v>3</v>
      </c>
    </row>
    <row r="1096" spans="4:9">
      <c r="D1096" s="5" t="s">
        <v>121</v>
      </c>
      <c r="E1096" s="3">
        <v>1951</v>
      </c>
      <c r="H1096" s="5" t="s">
        <v>121</v>
      </c>
      <c r="I1096" s="3">
        <v>1286</v>
      </c>
    </row>
    <row r="1097" spans="4:9">
      <c r="D1097" s="5"/>
      <c r="E1097" s="4"/>
      <c r="H1097" s="5"/>
      <c r="I1097" s="4"/>
    </row>
    <row r="1098" spans="4:9">
      <c r="D1098" s="5"/>
      <c r="E1098" s="4"/>
      <c r="H1098" s="5"/>
      <c r="I1098" s="4"/>
    </row>
    <row r="1099" spans="4:9">
      <c r="D1099" s="217" t="s">
        <v>4</v>
      </c>
      <c r="E1099" s="217">
        <f>SUM(E1096:E1098)</f>
        <v>1951</v>
      </c>
      <c r="H1099" s="217" t="s">
        <v>4</v>
      </c>
      <c r="I1099" s="217">
        <f>SUM(I1096:I1098)</f>
        <v>1286</v>
      </c>
    </row>
    <row r="1101" spans="4:9">
      <c r="D1101" s="669" t="s">
        <v>0</v>
      </c>
      <c r="E1101" s="670"/>
      <c r="H1101" s="669" t="s">
        <v>0</v>
      </c>
      <c r="I1101" s="670"/>
    </row>
    <row r="1102" spans="4:9">
      <c r="D1102" s="295" t="s">
        <v>1</v>
      </c>
      <c r="E1102" s="2">
        <v>45848</v>
      </c>
      <c r="H1102" s="295" t="s">
        <v>1</v>
      </c>
      <c r="I1102" s="2">
        <v>45849</v>
      </c>
    </row>
    <row r="1103" spans="4:9">
      <c r="D1103" s="295" t="s">
        <v>2</v>
      </c>
      <c r="E1103" s="295" t="s">
        <v>3</v>
      </c>
      <c r="H1103" s="295" t="s">
        <v>2</v>
      </c>
      <c r="I1103" s="295" t="s">
        <v>3</v>
      </c>
    </row>
    <row r="1104" spans="4:9">
      <c r="D1104" s="5" t="s">
        <v>121</v>
      </c>
      <c r="E1104" s="3">
        <v>951</v>
      </c>
      <c r="H1104" s="5" t="s">
        <v>258</v>
      </c>
      <c r="I1104" s="3">
        <v>15</v>
      </c>
    </row>
    <row r="1105" spans="4:9">
      <c r="D1105" s="5"/>
      <c r="E1105" s="4"/>
      <c r="H1105" s="5" t="s">
        <v>121</v>
      </c>
      <c r="I1105" s="4">
        <v>1280</v>
      </c>
    </row>
    <row r="1106" spans="4:9">
      <c r="D1106" s="5"/>
      <c r="E1106" s="4"/>
      <c r="H1106" s="5"/>
      <c r="I1106" s="4"/>
    </row>
    <row r="1107" spans="4:9">
      <c r="D1107" s="217" t="s">
        <v>4</v>
      </c>
      <c r="E1107" s="217">
        <f>SUM(E1104:E1106)</f>
        <v>951</v>
      </c>
      <c r="H1107" s="217" t="s">
        <v>4</v>
      </c>
      <c r="I1107" s="217">
        <f>SUM(I1104:I1106)</f>
        <v>1295</v>
      </c>
    </row>
    <row r="1109" spans="4:9">
      <c r="D1109" s="669" t="s">
        <v>0</v>
      </c>
      <c r="E1109" s="670"/>
      <c r="H1109" s="669" t="s">
        <v>0</v>
      </c>
      <c r="I1109" s="670"/>
    </row>
    <row r="1110" spans="4:9">
      <c r="D1110" s="296" t="s">
        <v>1</v>
      </c>
      <c r="E1110" s="2">
        <v>45852</v>
      </c>
      <c r="H1110" s="296" t="s">
        <v>1</v>
      </c>
      <c r="I1110" s="2">
        <v>45853</v>
      </c>
    </row>
    <row r="1111" spans="4:9">
      <c r="D1111" s="296" t="s">
        <v>2</v>
      </c>
      <c r="E1111" s="296" t="s">
        <v>3</v>
      </c>
      <c r="H1111" s="296" t="s">
        <v>2</v>
      </c>
      <c r="I1111" s="296" t="s">
        <v>3</v>
      </c>
    </row>
    <row r="1112" spans="4:9">
      <c r="D1112" s="5" t="s">
        <v>121</v>
      </c>
      <c r="E1112" s="3">
        <v>1331</v>
      </c>
      <c r="H1112" s="5" t="s">
        <v>77</v>
      </c>
      <c r="I1112" s="3">
        <v>757</v>
      </c>
    </row>
    <row r="1113" spans="4:9">
      <c r="D1113" s="5" t="s">
        <v>77</v>
      </c>
      <c r="E1113" s="4">
        <v>138</v>
      </c>
      <c r="H1113" s="5"/>
      <c r="I1113" s="4"/>
    </row>
    <row r="1114" spans="4:9">
      <c r="D1114" s="5"/>
      <c r="E1114" s="4"/>
      <c r="H1114" s="5"/>
      <c r="I1114" s="4"/>
    </row>
    <row r="1115" spans="4:9">
      <c r="D1115" s="217" t="s">
        <v>4</v>
      </c>
      <c r="E1115" s="217">
        <f>SUM(E1112:E1114)</f>
        <v>1469</v>
      </c>
      <c r="H1115" s="217" t="s">
        <v>4</v>
      </c>
      <c r="I1115" s="217">
        <f>SUM(I1112:I1114)</f>
        <v>757</v>
      </c>
    </row>
    <row r="1117" spans="4:9">
      <c r="D1117" s="669" t="s">
        <v>0</v>
      </c>
      <c r="E1117" s="670"/>
      <c r="H1117" s="669" t="s">
        <v>0</v>
      </c>
      <c r="I1117" s="670"/>
    </row>
    <row r="1118" spans="4:9">
      <c r="D1118" s="297" t="s">
        <v>1</v>
      </c>
      <c r="E1118" s="2">
        <v>45854</v>
      </c>
      <c r="H1118" s="297" t="s">
        <v>1</v>
      </c>
      <c r="I1118" s="2">
        <v>45855</v>
      </c>
    </row>
    <row r="1119" spans="4:9">
      <c r="D1119" s="297" t="s">
        <v>2</v>
      </c>
      <c r="E1119" s="297" t="s">
        <v>3</v>
      </c>
      <c r="H1119" s="297" t="s">
        <v>2</v>
      </c>
      <c r="I1119" s="297" t="s">
        <v>3</v>
      </c>
    </row>
    <row r="1120" spans="4:9">
      <c r="D1120" s="5" t="s">
        <v>77</v>
      </c>
      <c r="E1120" s="3">
        <v>130</v>
      </c>
      <c r="H1120" s="5" t="s">
        <v>123</v>
      </c>
      <c r="I1120" s="3">
        <v>392</v>
      </c>
    </row>
    <row r="1121" spans="4:9">
      <c r="D1121" s="5" t="s">
        <v>123</v>
      </c>
      <c r="E1121" s="4">
        <v>8</v>
      </c>
      <c r="H1121" s="5"/>
      <c r="I1121" s="4"/>
    </row>
    <row r="1122" spans="4:9">
      <c r="D1122" s="5"/>
      <c r="E1122" s="4"/>
      <c r="H1122" s="5"/>
      <c r="I1122" s="4"/>
    </row>
    <row r="1123" spans="4:9">
      <c r="D1123" s="217" t="s">
        <v>4</v>
      </c>
      <c r="E1123" s="217">
        <f>SUM(E1120:E1122)</f>
        <v>138</v>
      </c>
      <c r="H1123" s="217" t="s">
        <v>4</v>
      </c>
      <c r="I1123" s="217">
        <f>SUM(I1120:I1122)</f>
        <v>392</v>
      </c>
    </row>
    <row r="1125" spans="4:9">
      <c r="D1125" s="669" t="s">
        <v>0</v>
      </c>
      <c r="E1125" s="670"/>
      <c r="H1125" s="669" t="s">
        <v>0</v>
      </c>
      <c r="I1125" s="670"/>
    </row>
    <row r="1126" spans="4:9">
      <c r="D1126" s="298" t="s">
        <v>1</v>
      </c>
      <c r="E1126" s="2">
        <v>45856</v>
      </c>
      <c r="H1126" s="298" t="s">
        <v>1</v>
      </c>
      <c r="I1126" s="2">
        <v>45859</v>
      </c>
    </row>
    <row r="1127" spans="4:9">
      <c r="D1127" s="298" t="s">
        <v>2</v>
      </c>
      <c r="E1127" s="298" t="s">
        <v>3</v>
      </c>
      <c r="H1127" s="298" t="s">
        <v>2</v>
      </c>
      <c r="I1127" s="298" t="s">
        <v>3</v>
      </c>
    </row>
    <row r="1128" spans="4:9">
      <c r="D1128" s="5" t="s">
        <v>258</v>
      </c>
      <c r="E1128" s="3">
        <v>414</v>
      </c>
      <c r="H1128" s="5" t="s">
        <v>258</v>
      </c>
      <c r="I1128" s="3">
        <v>217</v>
      </c>
    </row>
    <row r="1129" spans="4:9">
      <c r="D1129" s="5" t="s">
        <v>258</v>
      </c>
      <c r="E1129" s="4">
        <v>358</v>
      </c>
      <c r="H1129" s="5" t="s">
        <v>121</v>
      </c>
      <c r="I1129" s="4">
        <v>865</v>
      </c>
    </row>
    <row r="1130" spans="4:9">
      <c r="D1130" s="5"/>
      <c r="E1130" s="4"/>
      <c r="H1130" s="5"/>
      <c r="I1130" s="4"/>
    </row>
    <row r="1131" spans="4:9">
      <c r="D1131" s="217" t="s">
        <v>4</v>
      </c>
      <c r="E1131" s="217">
        <f>SUM(E1128:E1130)</f>
        <v>772</v>
      </c>
      <c r="H1131" s="217" t="s">
        <v>4</v>
      </c>
      <c r="I1131" s="217">
        <f>SUM(I1128:I1130)</f>
        <v>1082</v>
      </c>
    </row>
    <row r="1133" spans="4:9">
      <c r="D1133" s="669" t="s">
        <v>0</v>
      </c>
      <c r="E1133" s="670"/>
      <c r="H1133" s="669" t="s">
        <v>0</v>
      </c>
      <c r="I1133" s="670"/>
    </row>
    <row r="1134" spans="4:9">
      <c r="D1134" s="299" t="s">
        <v>1</v>
      </c>
      <c r="E1134" s="2">
        <v>45860</v>
      </c>
      <c r="H1134" s="300" t="s">
        <v>1</v>
      </c>
      <c r="I1134" s="2">
        <v>45861</v>
      </c>
    </row>
    <row r="1135" spans="4:9">
      <c r="D1135" s="299" t="s">
        <v>2</v>
      </c>
      <c r="E1135" s="299" t="s">
        <v>3</v>
      </c>
      <c r="H1135" s="300" t="s">
        <v>2</v>
      </c>
      <c r="I1135" s="300" t="s">
        <v>3</v>
      </c>
    </row>
    <row r="1136" spans="4:9">
      <c r="D1136" s="5" t="s">
        <v>121</v>
      </c>
      <c r="E1136" s="3">
        <v>1060</v>
      </c>
      <c r="H1136" s="5" t="s">
        <v>259</v>
      </c>
      <c r="I1136" s="3">
        <v>261</v>
      </c>
    </row>
    <row r="1137" spans="4:9">
      <c r="D1137" s="5" t="s">
        <v>259</v>
      </c>
      <c r="E1137" s="4">
        <v>100</v>
      </c>
      <c r="H1137" s="5" t="s">
        <v>121</v>
      </c>
      <c r="I1137" s="4">
        <v>811</v>
      </c>
    </row>
    <row r="1138" spans="4:9">
      <c r="D1138" s="5"/>
      <c r="E1138" s="4"/>
      <c r="H1138" s="5"/>
      <c r="I1138" s="4"/>
    </row>
    <row r="1139" spans="4:9">
      <c r="D1139" s="217" t="s">
        <v>4</v>
      </c>
      <c r="E1139" s="217">
        <f>SUM(E1136:E1138)</f>
        <v>1160</v>
      </c>
      <c r="H1139" s="217" t="s">
        <v>4</v>
      </c>
      <c r="I1139" s="217">
        <f>SUM(I1136:I1138)</f>
        <v>1072</v>
      </c>
    </row>
    <row r="1141" spans="4:9">
      <c r="D1141" s="671" t="s">
        <v>0</v>
      </c>
      <c r="E1141" s="672"/>
      <c r="H1141" s="671" t="s">
        <v>0</v>
      </c>
      <c r="I1141" s="672"/>
    </row>
    <row r="1142" spans="4:9">
      <c r="D1142" s="366" t="s">
        <v>1</v>
      </c>
      <c r="E1142" s="367">
        <v>45862</v>
      </c>
      <c r="H1142" s="366" t="s">
        <v>1</v>
      </c>
      <c r="I1142" s="367">
        <v>45863</v>
      </c>
    </row>
    <row r="1143" spans="4:9">
      <c r="D1143" s="366" t="s">
        <v>2</v>
      </c>
      <c r="E1143" s="366" t="s">
        <v>3</v>
      </c>
      <c r="H1143" s="366" t="s">
        <v>2</v>
      </c>
      <c r="I1143" s="366" t="s">
        <v>3</v>
      </c>
    </row>
    <row r="1144" spans="4:9">
      <c r="D1144" s="368" t="s">
        <v>27</v>
      </c>
      <c r="E1144" s="369">
        <v>406</v>
      </c>
      <c r="H1144" s="368" t="s">
        <v>260</v>
      </c>
      <c r="I1144" s="369">
        <v>330</v>
      </c>
    </row>
    <row r="1145" spans="4:9">
      <c r="D1145" s="368" t="s">
        <v>260</v>
      </c>
      <c r="E1145" s="370">
        <v>440</v>
      </c>
      <c r="H1145" s="368" t="s">
        <v>261</v>
      </c>
      <c r="I1145" s="370">
        <v>380</v>
      </c>
    </row>
    <row r="1146" spans="4:9">
      <c r="D1146" s="368"/>
      <c r="E1146" s="370"/>
      <c r="H1146" s="368"/>
      <c r="I1146" s="370"/>
    </row>
    <row r="1147" spans="4:9">
      <c r="D1147" s="371" t="s">
        <v>4</v>
      </c>
      <c r="E1147" s="371">
        <f>SUM(E1144:E1146)</f>
        <v>846</v>
      </c>
      <c r="H1147" s="371" t="s">
        <v>4</v>
      </c>
      <c r="I1147" s="371">
        <f>SUM(I1144:I1146)</f>
        <v>710</v>
      </c>
    </row>
    <row r="1149" spans="4:9">
      <c r="D1149" s="671" t="s">
        <v>0</v>
      </c>
      <c r="E1149" s="672"/>
      <c r="H1149" s="669" t="s">
        <v>0</v>
      </c>
      <c r="I1149" s="670"/>
    </row>
    <row r="1150" spans="4:9">
      <c r="D1150" s="366" t="s">
        <v>1</v>
      </c>
      <c r="E1150" s="367">
        <v>45864</v>
      </c>
      <c r="H1150" s="301" t="s">
        <v>1</v>
      </c>
      <c r="I1150" s="2">
        <v>45866</v>
      </c>
    </row>
    <row r="1151" spans="4:9">
      <c r="D1151" s="366" t="s">
        <v>2</v>
      </c>
      <c r="E1151" s="366" t="s">
        <v>3</v>
      </c>
      <c r="H1151" s="301" t="s">
        <v>2</v>
      </c>
      <c r="I1151" s="301" t="s">
        <v>3</v>
      </c>
    </row>
    <row r="1152" spans="4:9">
      <c r="D1152" s="368" t="s">
        <v>261</v>
      </c>
      <c r="E1152" s="369">
        <v>390</v>
      </c>
      <c r="H1152" s="5" t="s">
        <v>255</v>
      </c>
      <c r="I1152" s="3">
        <v>866</v>
      </c>
    </row>
    <row r="1153" spans="4:9">
      <c r="D1153" s="368" t="s">
        <v>255</v>
      </c>
      <c r="E1153" s="370">
        <v>144</v>
      </c>
      <c r="H1153" s="5"/>
      <c r="I1153" s="4"/>
    </row>
    <row r="1154" spans="4:9">
      <c r="D1154" s="368"/>
      <c r="E1154" s="370"/>
      <c r="H1154" s="5"/>
      <c r="I1154" s="4"/>
    </row>
    <row r="1155" spans="4:9">
      <c r="D1155" s="371" t="s">
        <v>4</v>
      </c>
      <c r="E1155" s="371">
        <f>SUM(E1152:E1154)</f>
        <v>534</v>
      </c>
      <c r="H1155" s="217" t="s">
        <v>4</v>
      </c>
      <c r="I1155" s="217">
        <f>SUM(I1152:I1154)</f>
        <v>866</v>
      </c>
    </row>
    <row r="1157" spans="4:9">
      <c r="D1157" s="669" t="s">
        <v>0</v>
      </c>
      <c r="E1157" s="670"/>
      <c r="H1157" s="669" t="s">
        <v>0</v>
      </c>
      <c r="I1157" s="670"/>
    </row>
    <row r="1158" spans="4:9">
      <c r="D1158" s="302" t="s">
        <v>1</v>
      </c>
      <c r="E1158" s="2">
        <v>45867</v>
      </c>
      <c r="H1158" s="302" t="s">
        <v>1</v>
      </c>
      <c r="I1158" s="2">
        <v>45868</v>
      </c>
    </row>
    <row r="1159" spans="4:9">
      <c r="D1159" s="302" t="s">
        <v>2</v>
      </c>
      <c r="E1159" s="302" t="s">
        <v>3</v>
      </c>
      <c r="H1159" s="302" t="s">
        <v>2</v>
      </c>
      <c r="I1159" s="302" t="s">
        <v>3</v>
      </c>
    </row>
    <row r="1160" spans="4:9">
      <c r="D1160" s="5" t="s">
        <v>251</v>
      </c>
      <c r="E1160" s="3">
        <v>884</v>
      </c>
      <c r="H1160" s="5" t="s">
        <v>251</v>
      </c>
      <c r="I1160" s="3">
        <v>316</v>
      </c>
    </row>
    <row r="1161" spans="4:9">
      <c r="D1161" s="5"/>
      <c r="E1161" s="4"/>
      <c r="H1161" s="5" t="s">
        <v>252</v>
      </c>
      <c r="I1161" s="4">
        <v>457</v>
      </c>
    </row>
    <row r="1162" spans="4:9">
      <c r="D1162" s="5"/>
      <c r="E1162" s="4"/>
      <c r="H1162" s="5"/>
      <c r="I1162" s="4"/>
    </row>
    <row r="1163" spans="4:9">
      <c r="D1163" s="217" t="s">
        <v>4</v>
      </c>
      <c r="E1163" s="217">
        <f>SUM(E1160:E1162)</f>
        <v>884</v>
      </c>
      <c r="H1163" s="217" t="s">
        <v>4</v>
      </c>
      <c r="I1163" s="217">
        <f>SUM(I1160:I1162)</f>
        <v>773</v>
      </c>
    </row>
    <row r="1165" spans="4:9">
      <c r="D1165" s="669" t="s">
        <v>0</v>
      </c>
      <c r="E1165" s="670"/>
      <c r="H1165" s="669" t="s">
        <v>0</v>
      </c>
      <c r="I1165" s="670"/>
    </row>
    <row r="1166" spans="4:9">
      <c r="D1166" s="303" t="s">
        <v>1</v>
      </c>
      <c r="E1166" s="2">
        <v>45869</v>
      </c>
      <c r="H1166" s="303" t="s">
        <v>1</v>
      </c>
      <c r="I1166" s="2">
        <v>45870</v>
      </c>
    </row>
    <row r="1167" spans="4:9">
      <c r="D1167" s="303" t="s">
        <v>2</v>
      </c>
      <c r="E1167" s="303" t="s">
        <v>3</v>
      </c>
      <c r="H1167" s="303" t="s">
        <v>2</v>
      </c>
      <c r="I1167" s="303" t="s">
        <v>3</v>
      </c>
    </row>
    <row r="1168" spans="4:9">
      <c r="D1168" s="5" t="s">
        <v>262</v>
      </c>
      <c r="E1168" s="3">
        <v>743</v>
      </c>
      <c r="H1168" s="5" t="s">
        <v>256</v>
      </c>
      <c r="I1168" s="3">
        <v>735</v>
      </c>
    </row>
    <row r="1169" spans="4:9">
      <c r="D1169" s="5" t="s">
        <v>256</v>
      </c>
      <c r="E1169" s="4">
        <v>65</v>
      </c>
      <c r="H1169" s="5"/>
      <c r="I1169" s="4"/>
    </row>
    <row r="1170" spans="4:9">
      <c r="D1170" s="5"/>
      <c r="E1170" s="4"/>
      <c r="H1170" s="5"/>
      <c r="I1170" s="4"/>
    </row>
    <row r="1171" spans="4:9">
      <c r="D1171" s="217" t="s">
        <v>4</v>
      </c>
      <c r="E1171" s="217">
        <f>SUM(E1168:E1170)</f>
        <v>808</v>
      </c>
      <c r="H1171" s="217" t="s">
        <v>4</v>
      </c>
      <c r="I1171" s="217">
        <f>SUM(I1168:I1170)</f>
        <v>735</v>
      </c>
    </row>
    <row r="1173" spans="4:9">
      <c r="D1173" s="669" t="s">
        <v>0</v>
      </c>
      <c r="E1173" s="670"/>
      <c r="H1173" s="669" t="s">
        <v>0</v>
      </c>
      <c r="I1173" s="670"/>
    </row>
    <row r="1174" spans="4:9">
      <c r="D1174" s="304" t="s">
        <v>1</v>
      </c>
      <c r="E1174" s="2">
        <v>45873</v>
      </c>
      <c r="H1174" s="304" t="s">
        <v>1</v>
      </c>
      <c r="I1174" s="2">
        <v>45874</v>
      </c>
    </row>
    <row r="1175" spans="4:9">
      <c r="D1175" s="304" t="s">
        <v>2</v>
      </c>
      <c r="E1175" s="304" t="s">
        <v>3</v>
      </c>
      <c r="H1175" s="304" t="s">
        <v>2</v>
      </c>
      <c r="I1175" s="304" t="s">
        <v>3</v>
      </c>
    </row>
    <row r="1176" spans="4:9">
      <c r="D1176" s="5" t="s">
        <v>20</v>
      </c>
      <c r="E1176" s="3">
        <v>800</v>
      </c>
      <c r="H1176" s="5" t="s">
        <v>15</v>
      </c>
      <c r="I1176" s="3">
        <v>400</v>
      </c>
    </row>
    <row r="1177" spans="4:9">
      <c r="D1177" s="5"/>
      <c r="E1177" s="4"/>
      <c r="H1177" s="5" t="s">
        <v>190</v>
      </c>
      <c r="I1177" s="4">
        <v>400</v>
      </c>
    </row>
    <row r="1178" spans="4:9">
      <c r="D1178" s="5"/>
      <c r="E1178" s="4"/>
      <c r="H1178" s="5"/>
      <c r="I1178" s="4"/>
    </row>
    <row r="1179" spans="4:9">
      <c r="D1179" s="217" t="s">
        <v>4</v>
      </c>
      <c r="E1179" s="217">
        <f>SUM(E1176:E1178)</f>
        <v>800</v>
      </c>
      <c r="H1179" s="217" t="s">
        <v>4</v>
      </c>
      <c r="I1179" s="217">
        <f>SUM(I1176:I1178)</f>
        <v>800</v>
      </c>
    </row>
    <row r="1181" spans="4:9">
      <c r="D1181" s="669" t="s">
        <v>0</v>
      </c>
      <c r="E1181" s="670"/>
      <c r="H1181" s="669" t="s">
        <v>0</v>
      </c>
      <c r="I1181" s="670"/>
    </row>
    <row r="1182" spans="4:9">
      <c r="D1182" s="305" t="s">
        <v>1</v>
      </c>
      <c r="E1182" s="2">
        <v>45875</v>
      </c>
      <c r="H1182" s="305" t="s">
        <v>1</v>
      </c>
      <c r="I1182" s="2">
        <v>45877</v>
      </c>
    </row>
    <row r="1183" spans="4:9">
      <c r="D1183" s="305" t="s">
        <v>2</v>
      </c>
      <c r="E1183" s="305" t="s">
        <v>3</v>
      </c>
      <c r="H1183" s="305" t="s">
        <v>2</v>
      </c>
      <c r="I1183" s="305" t="s">
        <v>3</v>
      </c>
    </row>
    <row r="1184" spans="4:9">
      <c r="D1184" s="5" t="s">
        <v>182</v>
      </c>
      <c r="E1184" s="3">
        <v>400</v>
      </c>
      <c r="H1184" s="5" t="s">
        <v>5</v>
      </c>
      <c r="I1184" s="3">
        <v>400</v>
      </c>
    </row>
    <row r="1185" spans="4:9">
      <c r="D1185" s="5" t="s">
        <v>159</v>
      </c>
      <c r="E1185" s="4">
        <v>400</v>
      </c>
      <c r="H1185" s="5" t="s">
        <v>263</v>
      </c>
      <c r="I1185" s="4">
        <v>6</v>
      </c>
    </row>
    <row r="1186" spans="4:9">
      <c r="D1186" s="5"/>
      <c r="E1186" s="4"/>
      <c r="H1186" s="5" t="s">
        <v>6</v>
      </c>
      <c r="I1186" s="4">
        <v>162</v>
      </c>
    </row>
    <row r="1187" spans="4:9">
      <c r="D1187" s="217" t="s">
        <v>4</v>
      </c>
      <c r="E1187" s="217">
        <f>SUM(E1184:E1186)</f>
        <v>800</v>
      </c>
      <c r="H1187" s="217" t="s">
        <v>4</v>
      </c>
      <c r="I1187" s="217">
        <f>SUM(I1184:I1186)</f>
        <v>568</v>
      </c>
    </row>
    <row r="1189" spans="4:9">
      <c r="D1189" s="669" t="s">
        <v>0</v>
      </c>
      <c r="E1189" s="670"/>
      <c r="H1189" s="669" t="s">
        <v>0</v>
      </c>
      <c r="I1189" s="670"/>
    </row>
    <row r="1190" spans="4:9">
      <c r="D1190" s="306" t="s">
        <v>1</v>
      </c>
      <c r="E1190" s="2">
        <v>45880</v>
      </c>
      <c r="H1190" s="306" t="s">
        <v>1</v>
      </c>
      <c r="I1190" s="2">
        <v>45881</v>
      </c>
    </row>
    <row r="1191" spans="4:9">
      <c r="D1191" s="306" t="s">
        <v>2</v>
      </c>
      <c r="E1191" s="306" t="s">
        <v>3</v>
      </c>
      <c r="H1191" s="306" t="s">
        <v>2</v>
      </c>
      <c r="I1191" s="306" t="s">
        <v>3</v>
      </c>
    </row>
    <row r="1192" spans="4:9">
      <c r="D1192" s="5" t="s">
        <v>6</v>
      </c>
      <c r="E1192" s="3">
        <v>638</v>
      </c>
      <c r="H1192" s="5" t="s">
        <v>253</v>
      </c>
      <c r="I1192" s="3">
        <v>800</v>
      </c>
    </row>
    <row r="1193" spans="4:9">
      <c r="D1193" s="5"/>
      <c r="E1193" s="4"/>
      <c r="H1193" s="5"/>
      <c r="I1193" s="4"/>
    </row>
    <row r="1194" spans="4:9">
      <c r="D1194" s="5"/>
      <c r="E1194" s="4"/>
      <c r="H1194" s="5"/>
      <c r="I1194" s="4"/>
    </row>
    <row r="1195" spans="4:9">
      <c r="D1195" s="217" t="s">
        <v>4</v>
      </c>
      <c r="E1195" s="217">
        <f>SUM(E1192:E1194)</f>
        <v>638</v>
      </c>
      <c r="H1195" s="217" t="s">
        <v>4</v>
      </c>
      <c r="I1195" s="217">
        <f>SUM(I1192:I1194)</f>
        <v>800</v>
      </c>
    </row>
    <row r="1197" spans="4:9">
      <c r="D1197" s="669" t="s">
        <v>0</v>
      </c>
      <c r="E1197" s="670"/>
      <c r="H1197" s="669" t="s">
        <v>0</v>
      </c>
      <c r="I1197" s="670"/>
    </row>
    <row r="1198" spans="4:9">
      <c r="D1198" s="307" t="s">
        <v>1</v>
      </c>
      <c r="E1198" s="2">
        <v>45882</v>
      </c>
      <c r="H1198" s="307" t="s">
        <v>1</v>
      </c>
      <c r="I1198" s="2">
        <v>45883</v>
      </c>
    </row>
    <row r="1199" spans="4:9">
      <c r="D1199" s="307" t="s">
        <v>2</v>
      </c>
      <c r="E1199" s="307" t="s">
        <v>3</v>
      </c>
      <c r="H1199" s="307" t="s">
        <v>2</v>
      </c>
      <c r="I1199" s="307" t="s">
        <v>3</v>
      </c>
    </row>
    <row r="1200" spans="4:9">
      <c r="D1200" s="5" t="s">
        <v>255</v>
      </c>
      <c r="E1200" s="3">
        <v>624</v>
      </c>
      <c r="H1200" s="5" t="s">
        <v>255</v>
      </c>
      <c r="I1200" s="3">
        <v>181</v>
      </c>
    </row>
    <row r="1201" spans="4:9">
      <c r="D1201" s="5"/>
      <c r="E1201" s="4"/>
      <c r="H1201" s="5" t="s">
        <v>252</v>
      </c>
      <c r="I1201" s="4">
        <v>455</v>
      </c>
    </row>
    <row r="1202" spans="4:9">
      <c r="D1202" s="5"/>
      <c r="E1202" s="4"/>
      <c r="H1202" s="5"/>
      <c r="I1202" s="4"/>
    </row>
    <row r="1203" spans="4:9">
      <c r="D1203" s="217" t="s">
        <v>4</v>
      </c>
      <c r="E1203" s="217">
        <f>SUM(E1200:E1202)</f>
        <v>624</v>
      </c>
      <c r="H1203" s="217" t="s">
        <v>4</v>
      </c>
      <c r="I1203" s="217">
        <f>SUM(I1200:I1202)</f>
        <v>636</v>
      </c>
    </row>
    <row r="1205" spans="4:9">
      <c r="D1205" s="669" t="s">
        <v>0</v>
      </c>
      <c r="E1205" s="670"/>
      <c r="H1205" s="669" t="s">
        <v>0</v>
      </c>
      <c r="I1205" s="670"/>
    </row>
    <row r="1206" spans="4:9">
      <c r="D1206" s="308" t="s">
        <v>1</v>
      </c>
      <c r="E1206" s="2">
        <v>45884</v>
      </c>
      <c r="H1206" s="308" t="s">
        <v>1</v>
      </c>
      <c r="I1206" s="2">
        <v>45888</v>
      </c>
    </row>
    <row r="1207" spans="4:9">
      <c r="D1207" s="308" t="s">
        <v>2</v>
      </c>
      <c r="E1207" s="308" t="s">
        <v>3</v>
      </c>
      <c r="H1207" s="308" t="s">
        <v>2</v>
      </c>
      <c r="I1207" s="308" t="s">
        <v>3</v>
      </c>
    </row>
    <row r="1208" spans="4:9">
      <c r="D1208" s="5" t="s">
        <v>252</v>
      </c>
      <c r="E1208" s="3">
        <v>345</v>
      </c>
      <c r="H1208" s="5" t="s">
        <v>251</v>
      </c>
      <c r="I1208" s="3">
        <v>827</v>
      </c>
    </row>
    <row r="1209" spans="4:9">
      <c r="D1209" s="5" t="s">
        <v>258</v>
      </c>
      <c r="E1209" s="4">
        <v>65</v>
      </c>
      <c r="H1209" s="5"/>
      <c r="I1209" s="4"/>
    </row>
    <row r="1210" spans="4:9">
      <c r="D1210" s="5"/>
      <c r="E1210" s="4"/>
      <c r="H1210" s="5"/>
      <c r="I1210" s="4"/>
    </row>
    <row r="1211" spans="4:9">
      <c r="D1211" s="217" t="s">
        <v>4</v>
      </c>
      <c r="E1211" s="217">
        <f>SUM(E1208:E1210)</f>
        <v>410</v>
      </c>
      <c r="H1211" s="217" t="s">
        <v>4</v>
      </c>
      <c r="I1211" s="217">
        <f>SUM(I1208:I1210)</f>
        <v>827</v>
      </c>
    </row>
    <row r="1213" spans="4:9">
      <c r="D1213" s="669" t="s">
        <v>0</v>
      </c>
      <c r="E1213" s="670"/>
      <c r="H1213" s="669" t="s">
        <v>0</v>
      </c>
      <c r="I1213" s="670"/>
    </row>
    <row r="1214" spans="4:9">
      <c r="D1214" s="309" t="s">
        <v>1</v>
      </c>
      <c r="E1214" s="2">
        <v>45889</v>
      </c>
      <c r="H1214" s="309" t="s">
        <v>1</v>
      </c>
      <c r="I1214" s="2">
        <v>45890</v>
      </c>
    </row>
    <row r="1215" spans="4:9">
      <c r="D1215" s="309" t="s">
        <v>2</v>
      </c>
      <c r="E1215" s="309" t="s">
        <v>3</v>
      </c>
      <c r="H1215" s="309" t="s">
        <v>2</v>
      </c>
      <c r="I1215" s="309" t="s">
        <v>3</v>
      </c>
    </row>
    <row r="1216" spans="4:9">
      <c r="D1216" s="5" t="s">
        <v>251</v>
      </c>
      <c r="E1216" s="3">
        <v>188</v>
      </c>
      <c r="H1216" s="5" t="s">
        <v>255</v>
      </c>
      <c r="I1216" s="3">
        <v>821</v>
      </c>
    </row>
    <row r="1217" spans="4:10">
      <c r="D1217" s="5" t="s">
        <v>252</v>
      </c>
      <c r="E1217" s="4">
        <v>273</v>
      </c>
      <c r="H1217" s="5"/>
      <c r="I1217" s="4"/>
    </row>
    <row r="1218" spans="4:10">
      <c r="D1218" s="5"/>
      <c r="E1218" s="4"/>
      <c r="H1218" s="5"/>
      <c r="I1218" s="4"/>
    </row>
    <row r="1219" spans="4:10">
      <c r="D1219" s="217" t="s">
        <v>4</v>
      </c>
      <c r="E1219" s="217">
        <f>SUM(E1216:E1218)</f>
        <v>461</v>
      </c>
      <c r="H1219" s="217" t="s">
        <v>4</v>
      </c>
      <c r="I1219" s="217">
        <f>SUM(I1216:I1218)</f>
        <v>821</v>
      </c>
    </row>
    <row r="1221" spans="4:10">
      <c r="D1221" s="669" t="s">
        <v>0</v>
      </c>
      <c r="E1221" s="670"/>
      <c r="H1221" s="669" t="s">
        <v>0</v>
      </c>
      <c r="I1221" s="670"/>
      <c r="J1221" s="666" t="s">
        <v>184</v>
      </c>
    </row>
    <row r="1222" spans="4:10">
      <c r="D1222" s="310" t="s">
        <v>1</v>
      </c>
      <c r="E1222" s="2">
        <v>45891</v>
      </c>
      <c r="H1222" s="310" t="s">
        <v>1</v>
      </c>
      <c r="I1222" s="2">
        <v>45894</v>
      </c>
      <c r="J1222" s="668"/>
    </row>
    <row r="1223" spans="4:10">
      <c r="D1223" s="310" t="s">
        <v>2</v>
      </c>
      <c r="E1223" s="310" t="s">
        <v>3</v>
      </c>
      <c r="H1223" s="310" t="s">
        <v>2</v>
      </c>
      <c r="I1223" s="310" t="s">
        <v>3</v>
      </c>
      <c r="J1223" s="657"/>
    </row>
    <row r="1224" spans="4:10">
      <c r="D1224" s="5" t="s">
        <v>255</v>
      </c>
      <c r="E1224" s="3">
        <v>379</v>
      </c>
      <c r="H1224" s="5" t="s">
        <v>246</v>
      </c>
      <c r="I1224" s="3">
        <v>804</v>
      </c>
      <c r="J1224" s="5">
        <v>4020</v>
      </c>
    </row>
    <row r="1225" spans="4:10">
      <c r="D1225" s="5" t="s">
        <v>5</v>
      </c>
      <c r="E1225" s="4">
        <v>400</v>
      </c>
      <c r="H1225" s="5" t="s">
        <v>131</v>
      </c>
      <c r="I1225" s="4">
        <v>824</v>
      </c>
      <c r="J1225" s="5">
        <v>4120</v>
      </c>
    </row>
    <row r="1226" spans="4:10">
      <c r="D1226" s="5"/>
      <c r="E1226" s="4"/>
      <c r="H1226" s="5"/>
      <c r="I1226" s="4"/>
      <c r="J1226" s="5"/>
    </row>
    <row r="1227" spans="4:10">
      <c r="D1227" s="217" t="s">
        <v>4</v>
      </c>
      <c r="E1227" s="217">
        <f>SUM(E1224:E1226)</f>
        <v>779</v>
      </c>
      <c r="H1227" s="217" t="s">
        <v>4</v>
      </c>
      <c r="I1227" s="217">
        <f>SUM(I1224:I1226)</f>
        <v>1628</v>
      </c>
      <c r="J1227" s="217">
        <f>SUM(J1224:J1226)</f>
        <v>8140</v>
      </c>
    </row>
    <row r="1229" spans="4:10" ht="15" customHeight="1">
      <c r="D1229" s="669" t="s">
        <v>0</v>
      </c>
      <c r="E1229" s="680"/>
      <c r="F1229" s="679" t="s">
        <v>184</v>
      </c>
      <c r="G1229" s="127"/>
      <c r="H1229" s="667" t="s">
        <v>0</v>
      </c>
      <c r="I1229" s="667"/>
      <c r="J1229" s="666" t="s">
        <v>184</v>
      </c>
    </row>
    <row r="1230" spans="4:10">
      <c r="D1230" s="311" t="s">
        <v>1</v>
      </c>
      <c r="E1230" s="315">
        <v>45895</v>
      </c>
      <c r="F1230" s="679"/>
      <c r="G1230" s="127"/>
      <c r="H1230" s="311" t="s">
        <v>1</v>
      </c>
      <c r="I1230" s="2">
        <v>45896</v>
      </c>
      <c r="J1230" s="668"/>
    </row>
    <row r="1231" spans="4:10">
      <c r="D1231" s="311" t="s">
        <v>2</v>
      </c>
      <c r="E1231" s="313" t="s">
        <v>3</v>
      </c>
      <c r="F1231" s="679"/>
      <c r="G1231" s="127"/>
      <c r="H1231" s="311" t="s">
        <v>2</v>
      </c>
      <c r="I1231" s="311" t="s">
        <v>3</v>
      </c>
      <c r="J1231" s="657"/>
    </row>
    <row r="1232" spans="4:10">
      <c r="D1232" s="5" t="s">
        <v>6</v>
      </c>
      <c r="E1232" s="312">
        <v>321</v>
      </c>
      <c r="F1232" s="5">
        <v>963</v>
      </c>
      <c r="G1232" s="129"/>
      <c r="H1232" s="5"/>
      <c r="I1232" s="3"/>
      <c r="J1232" s="5"/>
    </row>
    <row r="1233" spans="4:10">
      <c r="D1233" s="318" t="s">
        <v>253</v>
      </c>
      <c r="E1233" s="316">
        <v>390</v>
      </c>
      <c r="F1233" s="5">
        <v>1170</v>
      </c>
      <c r="G1233" s="129"/>
      <c r="H1233" s="5" t="s">
        <v>5</v>
      </c>
      <c r="I1233" s="4">
        <v>248</v>
      </c>
      <c r="J1233" s="5">
        <v>744</v>
      </c>
    </row>
    <row r="1234" spans="4:10">
      <c r="D1234" s="5"/>
      <c r="E1234" s="316"/>
      <c r="F1234" s="5"/>
      <c r="G1234" s="129"/>
      <c r="H1234" s="5"/>
      <c r="I1234" s="4"/>
      <c r="J1234" s="5"/>
    </row>
    <row r="1235" spans="4:10">
      <c r="D1235" s="217" t="s">
        <v>4</v>
      </c>
      <c r="E1235" s="314">
        <f>SUM(E1232:E1234)</f>
        <v>711</v>
      </c>
      <c r="F1235" s="217">
        <f>SUM(F1232:F1234)</f>
        <v>2133</v>
      </c>
      <c r="G1235" s="128"/>
      <c r="H1235" s="217" t="s">
        <v>4</v>
      </c>
      <c r="I1235" s="217">
        <f>SUM(I1232:I1234)</f>
        <v>248</v>
      </c>
      <c r="J1235" s="217">
        <f>SUM(J1232:J1234)</f>
        <v>744</v>
      </c>
    </row>
    <row r="1236" spans="4:10">
      <c r="F1236" s="317"/>
    </row>
    <row r="1237" spans="4:10">
      <c r="D1237" s="667" t="s">
        <v>0</v>
      </c>
      <c r="E1237" s="667"/>
      <c r="F1237" s="666" t="s">
        <v>184</v>
      </c>
      <c r="H1237" s="667" t="s">
        <v>0</v>
      </c>
      <c r="I1237" s="667"/>
      <c r="J1237" s="666" t="s">
        <v>184</v>
      </c>
    </row>
    <row r="1238" spans="4:10">
      <c r="D1238" s="319" t="s">
        <v>1</v>
      </c>
      <c r="E1238" s="2">
        <v>45897</v>
      </c>
      <c r="F1238" s="668"/>
      <c r="H1238" s="319" t="s">
        <v>1</v>
      </c>
      <c r="I1238" s="2">
        <v>45898</v>
      </c>
      <c r="J1238" s="668"/>
    </row>
    <row r="1239" spans="4:10">
      <c r="D1239" s="319" t="s">
        <v>2</v>
      </c>
      <c r="E1239" s="319" t="s">
        <v>3</v>
      </c>
      <c r="F1239" s="657"/>
      <c r="H1239" s="319" t="s">
        <v>2</v>
      </c>
      <c r="I1239" s="319" t="s">
        <v>3</v>
      </c>
      <c r="J1239" s="657"/>
    </row>
    <row r="1240" spans="4:10">
      <c r="D1240" s="5" t="s">
        <v>5</v>
      </c>
      <c r="E1240" s="3">
        <v>153</v>
      </c>
      <c r="F1240" s="5">
        <v>459</v>
      </c>
      <c r="H1240" s="5" t="s">
        <v>265</v>
      </c>
      <c r="I1240" s="3">
        <v>400</v>
      </c>
      <c r="J1240" s="5">
        <v>1200</v>
      </c>
    </row>
    <row r="1241" spans="4:10">
      <c r="D1241" s="5" t="s">
        <v>264</v>
      </c>
      <c r="E1241" s="4">
        <v>479</v>
      </c>
      <c r="F1241" s="5">
        <v>1437</v>
      </c>
      <c r="H1241" s="5" t="s">
        <v>182</v>
      </c>
      <c r="I1241" s="4">
        <v>300</v>
      </c>
      <c r="J1241" s="5">
        <v>900</v>
      </c>
    </row>
    <row r="1242" spans="4:10">
      <c r="D1242" s="5"/>
      <c r="E1242" s="4"/>
      <c r="F1242" s="5"/>
      <c r="H1242" s="5"/>
      <c r="I1242" s="4"/>
      <c r="J1242" s="5"/>
    </row>
    <row r="1243" spans="4:10">
      <c r="D1243" s="217" t="s">
        <v>4</v>
      </c>
      <c r="E1243" s="217">
        <f>SUM(E1240:E1242)</f>
        <v>632</v>
      </c>
      <c r="F1243" s="217">
        <f>SUM(F1240:F1242)</f>
        <v>1896</v>
      </c>
      <c r="H1243" s="217" t="s">
        <v>4</v>
      </c>
      <c r="I1243" s="217">
        <f>SUM(I1240:I1242)</f>
        <v>700</v>
      </c>
      <c r="J1243" s="217">
        <f>SUM(J1240:J1242)</f>
        <v>2100</v>
      </c>
    </row>
    <row r="1245" spans="4:10">
      <c r="D1245" s="667" t="s">
        <v>0</v>
      </c>
      <c r="E1245" s="667"/>
      <c r="F1245" s="666" t="s">
        <v>184</v>
      </c>
      <c r="H1245" s="667" t="s">
        <v>0</v>
      </c>
      <c r="I1245" s="667"/>
      <c r="J1245" s="666" t="s">
        <v>184</v>
      </c>
    </row>
    <row r="1246" spans="4:10">
      <c r="D1246" s="319" t="s">
        <v>1</v>
      </c>
      <c r="E1246" s="2">
        <v>45901</v>
      </c>
      <c r="F1246" s="668"/>
      <c r="H1246" s="319" t="s">
        <v>1</v>
      </c>
      <c r="I1246" s="2">
        <v>45902</v>
      </c>
      <c r="J1246" s="668"/>
    </row>
    <row r="1247" spans="4:10">
      <c r="D1247" s="319" t="s">
        <v>2</v>
      </c>
      <c r="E1247" s="319" t="s">
        <v>3</v>
      </c>
      <c r="F1247" s="657"/>
      <c r="H1247" s="319" t="s">
        <v>2</v>
      </c>
      <c r="I1247" s="319" t="s">
        <v>3</v>
      </c>
      <c r="J1247" s="657"/>
    </row>
    <row r="1248" spans="4:10">
      <c r="D1248" s="5" t="s">
        <v>182</v>
      </c>
      <c r="E1248" s="3">
        <v>100</v>
      </c>
      <c r="F1248" s="5">
        <v>300</v>
      </c>
      <c r="H1248" s="5" t="s">
        <v>267</v>
      </c>
      <c r="I1248" s="3">
        <v>420</v>
      </c>
      <c r="J1248" s="5">
        <v>2520</v>
      </c>
    </row>
    <row r="1249" spans="4:10">
      <c r="D1249" s="5" t="s">
        <v>266</v>
      </c>
      <c r="E1249" s="3" t="s">
        <v>45</v>
      </c>
      <c r="F1249" s="5">
        <v>1200</v>
      </c>
      <c r="H1249" s="5"/>
      <c r="I1249" s="4"/>
      <c r="J1249" s="5"/>
    </row>
    <row r="1250" spans="4:10">
      <c r="D1250" s="5"/>
      <c r="E1250" s="4"/>
      <c r="F1250" s="5"/>
      <c r="H1250" s="5"/>
      <c r="I1250" s="4"/>
      <c r="J1250" s="5"/>
    </row>
    <row r="1251" spans="4:10">
      <c r="D1251" s="217" t="s">
        <v>4</v>
      </c>
      <c r="E1251" s="217">
        <f>SUM(E1248:E1250)</f>
        <v>100</v>
      </c>
      <c r="F1251" s="217">
        <f>SUM(F1248:F1250)</f>
        <v>1500</v>
      </c>
      <c r="H1251" s="217" t="s">
        <v>4</v>
      </c>
      <c r="I1251" s="217">
        <f>SUM(I1248:I1250)</f>
        <v>420</v>
      </c>
      <c r="J1251" s="217">
        <f>SUM(J1248:J1250)</f>
        <v>2520</v>
      </c>
    </row>
    <row r="1253" spans="4:10">
      <c r="D1253" s="667" t="s">
        <v>0</v>
      </c>
      <c r="E1253" s="667"/>
      <c r="F1253" s="666" t="s">
        <v>184</v>
      </c>
      <c r="H1253" s="667" t="s">
        <v>0</v>
      </c>
      <c r="I1253" s="667"/>
      <c r="J1253" s="666" t="s">
        <v>184</v>
      </c>
    </row>
    <row r="1254" spans="4:10">
      <c r="D1254" s="319" t="s">
        <v>1</v>
      </c>
      <c r="E1254" s="2">
        <v>45903</v>
      </c>
      <c r="F1254" s="668"/>
      <c r="H1254" s="319" t="s">
        <v>1</v>
      </c>
      <c r="I1254" s="2">
        <v>45904</v>
      </c>
      <c r="J1254" s="668"/>
    </row>
    <row r="1255" spans="4:10">
      <c r="D1255" s="319" t="s">
        <v>2</v>
      </c>
      <c r="E1255" s="319" t="s">
        <v>3</v>
      </c>
      <c r="F1255" s="657"/>
      <c r="H1255" s="319" t="s">
        <v>2</v>
      </c>
      <c r="I1255" s="319" t="s">
        <v>3</v>
      </c>
      <c r="J1255" s="657"/>
    </row>
    <row r="1256" spans="4:10">
      <c r="D1256" s="5" t="s">
        <v>266</v>
      </c>
      <c r="E1256" s="3">
        <v>6</v>
      </c>
      <c r="F1256" s="5">
        <v>18</v>
      </c>
      <c r="H1256" s="5" t="s">
        <v>269</v>
      </c>
      <c r="I1256" s="3">
        <v>250</v>
      </c>
      <c r="J1256" s="5">
        <v>750</v>
      </c>
    </row>
    <row r="1257" spans="4:10">
      <c r="D1257" s="5" t="s">
        <v>268</v>
      </c>
      <c r="E1257" s="4">
        <v>250</v>
      </c>
      <c r="F1257" s="5">
        <v>750</v>
      </c>
      <c r="H1257" s="5" t="s">
        <v>267</v>
      </c>
      <c r="I1257" s="4">
        <v>412</v>
      </c>
      <c r="J1257" s="5">
        <v>2472</v>
      </c>
    </row>
    <row r="1258" spans="4:10">
      <c r="D1258" s="5"/>
      <c r="E1258" s="4"/>
      <c r="F1258" s="5"/>
      <c r="H1258" s="5" t="s">
        <v>270</v>
      </c>
      <c r="I1258" s="4">
        <v>290</v>
      </c>
      <c r="J1258" s="5">
        <v>290</v>
      </c>
    </row>
    <row r="1259" spans="4:10">
      <c r="D1259" s="217" t="s">
        <v>4</v>
      </c>
      <c r="E1259" s="217">
        <f>SUM(E1256:E1258)</f>
        <v>256</v>
      </c>
      <c r="F1259" s="217">
        <f>SUM(F1256:F1258)</f>
        <v>768</v>
      </c>
      <c r="H1259" s="217" t="s">
        <v>4</v>
      </c>
      <c r="I1259" s="217">
        <f>SUM(I1256:I1258)</f>
        <v>952</v>
      </c>
      <c r="J1259" s="217">
        <f>SUM(J1256:J1258)</f>
        <v>3512</v>
      </c>
    </row>
    <row r="1261" spans="4:10">
      <c r="D1261" s="667" t="s">
        <v>0</v>
      </c>
      <c r="E1261" s="667"/>
      <c r="F1261" s="666" t="s">
        <v>184</v>
      </c>
      <c r="H1261" s="667" t="s">
        <v>0</v>
      </c>
      <c r="I1261" s="667"/>
      <c r="J1261" s="666" t="s">
        <v>184</v>
      </c>
    </row>
    <row r="1262" spans="4:10">
      <c r="D1262" s="319" t="s">
        <v>1</v>
      </c>
      <c r="E1262" s="2">
        <v>45905</v>
      </c>
      <c r="F1262" s="668"/>
      <c r="H1262" s="319" t="s">
        <v>1</v>
      </c>
      <c r="I1262" s="2">
        <v>45906</v>
      </c>
      <c r="J1262" s="668"/>
    </row>
    <row r="1263" spans="4:10">
      <c r="D1263" s="319" t="s">
        <v>2</v>
      </c>
      <c r="E1263" s="319" t="s">
        <v>3</v>
      </c>
      <c r="F1263" s="657"/>
      <c r="H1263" s="319" t="s">
        <v>2</v>
      </c>
      <c r="I1263" s="319" t="s">
        <v>3</v>
      </c>
      <c r="J1263" s="657"/>
    </row>
    <row r="1264" spans="4:10">
      <c r="D1264" s="5" t="s">
        <v>270</v>
      </c>
      <c r="E1264" s="3">
        <v>142</v>
      </c>
      <c r="F1264" s="5">
        <v>142</v>
      </c>
      <c r="H1264" s="5" t="s">
        <v>273</v>
      </c>
      <c r="I1264" s="3">
        <v>300</v>
      </c>
      <c r="J1264" s="5">
        <v>300</v>
      </c>
    </row>
    <row r="1265" spans="4:10">
      <c r="D1265" s="5" t="s">
        <v>271</v>
      </c>
      <c r="E1265" s="4">
        <v>300</v>
      </c>
      <c r="F1265" s="5">
        <v>300</v>
      </c>
      <c r="H1265" s="5" t="s">
        <v>274</v>
      </c>
      <c r="I1265" s="4">
        <v>317</v>
      </c>
      <c r="J1265" s="5">
        <v>317</v>
      </c>
    </row>
    <row r="1266" spans="4:10">
      <c r="D1266" s="5" t="s">
        <v>272</v>
      </c>
      <c r="E1266" s="4">
        <v>227</v>
      </c>
      <c r="F1266" s="5">
        <v>227</v>
      </c>
      <c r="H1266" s="5" t="s">
        <v>272</v>
      </c>
      <c r="I1266" s="4">
        <v>73</v>
      </c>
      <c r="J1266" s="5">
        <v>73</v>
      </c>
    </row>
    <row r="1267" spans="4:10">
      <c r="D1267" s="217" t="s">
        <v>4</v>
      </c>
      <c r="E1267" s="217">
        <f>SUM(E1264:E1266)</f>
        <v>669</v>
      </c>
      <c r="F1267" s="217">
        <f>SUM(F1264:F1266)</f>
        <v>669</v>
      </c>
      <c r="H1267" s="217" t="s">
        <v>4</v>
      </c>
      <c r="I1267" s="217">
        <f>SUM(I1264:I1266)</f>
        <v>690</v>
      </c>
      <c r="J1267" s="217">
        <f>SUM(J1264:J1266)</f>
        <v>690</v>
      </c>
    </row>
    <row r="1269" spans="4:10">
      <c r="D1269" s="667" t="s">
        <v>0</v>
      </c>
      <c r="E1269" s="667"/>
      <c r="F1269" s="666" t="s">
        <v>184</v>
      </c>
      <c r="H1269" s="667" t="s">
        <v>0</v>
      </c>
      <c r="I1269" s="667"/>
      <c r="J1269" s="666" t="s">
        <v>184</v>
      </c>
    </row>
    <row r="1270" spans="4:10">
      <c r="D1270" s="319" t="s">
        <v>1</v>
      </c>
      <c r="E1270" s="2">
        <v>45908</v>
      </c>
      <c r="F1270" s="668"/>
      <c r="H1270" s="320" t="s">
        <v>1</v>
      </c>
      <c r="I1270" s="2">
        <v>45909</v>
      </c>
      <c r="J1270" s="668"/>
    </row>
    <row r="1271" spans="4:10">
      <c r="D1271" s="319" t="s">
        <v>2</v>
      </c>
      <c r="E1271" s="319" t="s">
        <v>3</v>
      </c>
      <c r="F1271" s="657"/>
      <c r="H1271" s="320" t="s">
        <v>2</v>
      </c>
      <c r="I1271" s="320" t="s">
        <v>3</v>
      </c>
      <c r="J1271" s="657"/>
    </row>
    <row r="1272" spans="4:10">
      <c r="D1272" s="5" t="s">
        <v>275</v>
      </c>
      <c r="E1272" s="3">
        <v>252</v>
      </c>
      <c r="F1272" s="5">
        <v>252</v>
      </c>
      <c r="H1272" s="5" t="s">
        <v>264</v>
      </c>
      <c r="I1272" s="3">
        <v>49</v>
      </c>
      <c r="J1272" s="5">
        <v>147</v>
      </c>
    </row>
    <row r="1273" spans="4:10">
      <c r="D1273" s="5" t="s">
        <v>276</v>
      </c>
      <c r="E1273" s="4">
        <v>131</v>
      </c>
      <c r="F1273" s="5">
        <v>131</v>
      </c>
      <c r="H1273" s="5"/>
      <c r="I1273" s="4"/>
      <c r="J1273" s="5"/>
    </row>
    <row r="1274" spans="4:10">
      <c r="D1274" s="5" t="s">
        <v>279</v>
      </c>
      <c r="E1274" s="4">
        <v>125</v>
      </c>
      <c r="F1274" s="5">
        <v>125</v>
      </c>
      <c r="H1274" s="5" t="s">
        <v>211</v>
      </c>
      <c r="I1274" s="4">
        <v>463</v>
      </c>
      <c r="J1274" s="5">
        <v>2315</v>
      </c>
    </row>
    <row r="1275" spans="4:10">
      <c r="D1275" s="217" t="s">
        <v>277</v>
      </c>
      <c r="E1275" s="217">
        <v>74</v>
      </c>
      <c r="F1275" s="217">
        <v>74</v>
      </c>
      <c r="H1275" s="217" t="s">
        <v>4</v>
      </c>
      <c r="I1275" s="217">
        <f>SUM(I1272:I1274)</f>
        <v>512</v>
      </c>
      <c r="J1275" s="217">
        <f>SUM(J1272:J1274)</f>
        <v>2462</v>
      </c>
    </row>
    <row r="1276" spans="4:10">
      <c r="D1276" s="217" t="s">
        <v>278</v>
      </c>
      <c r="E1276" s="217">
        <v>40</v>
      </c>
      <c r="F1276" s="217">
        <v>40</v>
      </c>
    </row>
    <row r="1277" spans="4:10">
      <c r="D1277" s="217" t="s">
        <v>4</v>
      </c>
      <c r="E1277" s="217">
        <v>622</v>
      </c>
      <c r="F1277" s="217">
        <v>622</v>
      </c>
      <c r="H1277" s="667" t="s">
        <v>0</v>
      </c>
      <c r="I1277" s="667"/>
      <c r="J1277" s="666" t="s">
        <v>184</v>
      </c>
    </row>
    <row r="1278" spans="4:10">
      <c r="H1278" s="322" t="s">
        <v>1</v>
      </c>
      <c r="I1278" s="2">
        <v>45911</v>
      </c>
      <c r="J1278" s="668"/>
    </row>
    <row r="1279" spans="4:10">
      <c r="D1279" s="667" t="s">
        <v>0</v>
      </c>
      <c r="E1279" s="667"/>
      <c r="F1279" s="666" t="s">
        <v>184</v>
      </c>
      <c r="H1279" s="322" t="s">
        <v>2</v>
      </c>
      <c r="I1279" s="322" t="s">
        <v>3</v>
      </c>
      <c r="J1279" s="657"/>
    </row>
    <row r="1280" spans="4:10">
      <c r="D1280" s="321" t="s">
        <v>1</v>
      </c>
      <c r="E1280" s="2">
        <v>45910</v>
      </c>
      <c r="F1280" s="668"/>
      <c r="H1280" s="5" t="s">
        <v>211</v>
      </c>
      <c r="I1280" s="3">
        <v>305</v>
      </c>
      <c r="J1280" s="5">
        <v>1525</v>
      </c>
    </row>
    <row r="1281" spans="4:10">
      <c r="D1281" s="321" t="s">
        <v>2</v>
      </c>
      <c r="E1281" s="321" t="s">
        <v>3</v>
      </c>
      <c r="F1281" s="657"/>
      <c r="H1281" s="5" t="s">
        <v>210</v>
      </c>
      <c r="I1281" s="4">
        <v>1335</v>
      </c>
      <c r="J1281" s="5">
        <v>6675</v>
      </c>
    </row>
    <row r="1282" spans="4:10">
      <c r="D1282" s="5" t="s">
        <v>211</v>
      </c>
      <c r="E1282" s="3">
        <v>737</v>
      </c>
      <c r="F1282" s="5">
        <v>3685</v>
      </c>
      <c r="H1282" s="5"/>
      <c r="I1282" s="4"/>
      <c r="J1282" s="5"/>
    </row>
    <row r="1283" spans="4:10">
      <c r="D1283" s="5" t="s">
        <v>264</v>
      </c>
      <c r="E1283" s="4">
        <v>408</v>
      </c>
      <c r="F1283" s="5">
        <v>1224</v>
      </c>
      <c r="H1283" s="217" t="s">
        <v>4</v>
      </c>
      <c r="I1283" s="217">
        <f>SUM(I1280:I1282)</f>
        <v>1640</v>
      </c>
      <c r="J1283" s="217">
        <f>SUM(J1280:J1282)</f>
        <v>8200</v>
      </c>
    </row>
    <row r="1284" spans="4:10">
      <c r="D1284" s="5"/>
      <c r="E1284" s="4"/>
      <c r="F1284" s="5"/>
    </row>
    <row r="1285" spans="4:10">
      <c r="D1285" s="217" t="s">
        <v>4</v>
      </c>
      <c r="E1285" s="217">
        <f>SUM(E1282:E1284)</f>
        <v>1145</v>
      </c>
      <c r="F1285" s="217">
        <f>SUM(F1282:F1284)</f>
        <v>4909</v>
      </c>
    </row>
    <row r="1287" spans="4:10">
      <c r="D1287" s="667" t="s">
        <v>0</v>
      </c>
      <c r="E1287" s="667"/>
      <c r="F1287" s="666" t="s">
        <v>184</v>
      </c>
      <c r="H1287" s="667" t="s">
        <v>0</v>
      </c>
      <c r="I1287" s="667"/>
      <c r="J1287" s="666" t="s">
        <v>184</v>
      </c>
    </row>
    <row r="1288" spans="4:10">
      <c r="D1288" s="322" t="s">
        <v>1</v>
      </c>
      <c r="E1288" s="2">
        <v>45912</v>
      </c>
      <c r="F1288" s="668"/>
      <c r="H1288" s="323" t="s">
        <v>1</v>
      </c>
      <c r="I1288" s="2">
        <v>45913</v>
      </c>
      <c r="J1288" s="668"/>
    </row>
    <row r="1289" spans="4:10">
      <c r="D1289" s="322" t="s">
        <v>2</v>
      </c>
      <c r="E1289" s="322" t="s">
        <v>3</v>
      </c>
      <c r="F1289" s="657"/>
      <c r="H1289" s="323" t="s">
        <v>2</v>
      </c>
      <c r="I1289" s="323" t="s">
        <v>3</v>
      </c>
      <c r="J1289" s="657"/>
    </row>
    <row r="1290" spans="4:10">
      <c r="D1290" s="5"/>
      <c r="E1290" s="3"/>
      <c r="F1290" s="5"/>
      <c r="H1290" s="5" t="s">
        <v>280</v>
      </c>
      <c r="I1290" s="3">
        <v>42</v>
      </c>
      <c r="J1290" s="5">
        <v>42</v>
      </c>
    </row>
    <row r="1291" spans="4:10">
      <c r="D1291" s="5" t="s">
        <v>255</v>
      </c>
      <c r="E1291" s="4">
        <v>870</v>
      </c>
      <c r="F1291" s="5">
        <v>2610</v>
      </c>
      <c r="H1291" s="5" t="s">
        <v>281</v>
      </c>
      <c r="I1291" s="4">
        <v>128</v>
      </c>
      <c r="J1291" s="5">
        <v>128</v>
      </c>
    </row>
    <row r="1292" spans="4:10">
      <c r="D1292" s="5"/>
      <c r="E1292" s="4"/>
      <c r="F1292" s="5"/>
      <c r="H1292" s="5" t="s">
        <v>282</v>
      </c>
      <c r="I1292" s="4">
        <v>42</v>
      </c>
      <c r="J1292" s="5">
        <v>42</v>
      </c>
    </row>
    <row r="1293" spans="4:10">
      <c r="D1293" s="217" t="s">
        <v>4</v>
      </c>
      <c r="E1293" s="217">
        <f>SUM(E1290:E1292)</f>
        <v>870</v>
      </c>
      <c r="F1293" s="217">
        <f>SUM(F1290:F1292)</f>
        <v>2610</v>
      </c>
      <c r="H1293" s="217" t="s">
        <v>283</v>
      </c>
      <c r="I1293" s="325">
        <v>42</v>
      </c>
      <c r="J1293" s="217">
        <v>42</v>
      </c>
    </row>
    <row r="1294" spans="4:10">
      <c r="H1294" s="217" t="s">
        <v>284</v>
      </c>
      <c r="I1294" s="217">
        <v>460</v>
      </c>
      <c r="J1294" s="217">
        <v>1380</v>
      </c>
    </row>
    <row r="1295" spans="4:10">
      <c r="H1295" s="217" t="s">
        <v>4</v>
      </c>
      <c r="I1295" s="217">
        <v>714</v>
      </c>
      <c r="J1295" s="217">
        <v>1634</v>
      </c>
    </row>
    <row r="1297" spans="4:10">
      <c r="D1297" s="667" t="s">
        <v>0</v>
      </c>
      <c r="E1297" s="667"/>
      <c r="F1297" s="666" t="s">
        <v>184</v>
      </c>
      <c r="H1297" s="667" t="s">
        <v>0</v>
      </c>
      <c r="I1297" s="667"/>
      <c r="J1297" s="666" t="s">
        <v>184</v>
      </c>
    </row>
    <row r="1298" spans="4:10">
      <c r="D1298" s="324" t="s">
        <v>1</v>
      </c>
      <c r="E1298" s="2">
        <v>45915</v>
      </c>
      <c r="F1298" s="668"/>
      <c r="H1298" s="324" t="s">
        <v>1</v>
      </c>
      <c r="I1298" s="2">
        <v>45916</v>
      </c>
      <c r="J1298" s="668"/>
    </row>
    <row r="1299" spans="4:10">
      <c r="D1299" s="324" t="s">
        <v>2</v>
      </c>
      <c r="E1299" s="324" t="s">
        <v>3</v>
      </c>
      <c r="F1299" s="657"/>
      <c r="H1299" s="324" t="s">
        <v>2</v>
      </c>
      <c r="I1299" s="324" t="s">
        <v>3</v>
      </c>
      <c r="J1299" s="657"/>
    </row>
    <row r="1300" spans="4:10">
      <c r="D1300" s="5"/>
      <c r="E1300" s="3"/>
      <c r="F1300" s="5"/>
      <c r="H1300" s="5"/>
      <c r="I1300" s="3"/>
      <c r="J1300" s="5"/>
    </row>
    <row r="1301" spans="4:10">
      <c r="D1301" s="5" t="s">
        <v>255</v>
      </c>
      <c r="E1301" s="4">
        <v>570</v>
      </c>
      <c r="F1301" s="5">
        <v>1710</v>
      </c>
      <c r="H1301" s="5" t="s">
        <v>255</v>
      </c>
      <c r="I1301" s="4">
        <v>160</v>
      </c>
      <c r="J1301" s="5">
        <v>480</v>
      </c>
    </row>
    <row r="1302" spans="4:10">
      <c r="D1302" s="5"/>
      <c r="E1302" s="4"/>
      <c r="F1302" s="5"/>
      <c r="H1302" s="5" t="s">
        <v>284</v>
      </c>
      <c r="I1302" s="4">
        <v>547</v>
      </c>
      <c r="J1302" s="5">
        <v>1641</v>
      </c>
    </row>
    <row r="1303" spans="4:10">
      <c r="D1303" s="217" t="s">
        <v>4</v>
      </c>
      <c r="E1303" s="217">
        <f>SUM(E1300:E1302)</f>
        <v>570</v>
      </c>
      <c r="F1303" s="217">
        <f>SUM(F1300:F1302)</f>
        <v>1710</v>
      </c>
      <c r="H1303" s="217" t="s">
        <v>4</v>
      </c>
      <c r="I1303" s="217">
        <f>SUM(I1300:I1302)</f>
        <v>707</v>
      </c>
      <c r="J1303" s="217">
        <f>SUM(J1300:J1302)</f>
        <v>2121</v>
      </c>
    </row>
    <row r="1306" spans="4:10">
      <c r="D1306" s="667" t="s">
        <v>0</v>
      </c>
      <c r="E1306" s="667"/>
      <c r="F1306" s="666" t="s">
        <v>184</v>
      </c>
      <c r="H1306" s="667" t="s">
        <v>0</v>
      </c>
      <c r="I1306" s="667"/>
      <c r="J1306" s="666" t="s">
        <v>184</v>
      </c>
    </row>
    <row r="1307" spans="4:10">
      <c r="D1307" s="324" t="s">
        <v>1</v>
      </c>
      <c r="E1307" s="2">
        <v>45917</v>
      </c>
      <c r="F1307" s="668"/>
      <c r="H1307" s="326" t="s">
        <v>1</v>
      </c>
      <c r="I1307" s="2">
        <v>45918</v>
      </c>
      <c r="J1307" s="668"/>
    </row>
    <row r="1308" spans="4:10">
      <c r="D1308" s="324" t="s">
        <v>2</v>
      </c>
      <c r="E1308" s="324" t="s">
        <v>3</v>
      </c>
      <c r="F1308" s="657"/>
      <c r="H1308" s="326" t="s">
        <v>2</v>
      </c>
      <c r="I1308" s="326" t="s">
        <v>3</v>
      </c>
      <c r="J1308" s="657"/>
    </row>
    <row r="1309" spans="4:10">
      <c r="D1309" s="5"/>
      <c r="E1309" s="3"/>
      <c r="F1309" s="5"/>
      <c r="H1309" s="5"/>
      <c r="I1309" s="3"/>
      <c r="J1309" s="5"/>
    </row>
    <row r="1310" spans="4:10">
      <c r="D1310" s="5" t="s">
        <v>284</v>
      </c>
      <c r="E1310" s="4">
        <v>185</v>
      </c>
      <c r="F1310" s="5">
        <v>555</v>
      </c>
      <c r="H1310" s="5" t="s">
        <v>266</v>
      </c>
      <c r="I1310" s="4">
        <v>627</v>
      </c>
      <c r="J1310" s="5">
        <v>1881</v>
      </c>
    </row>
    <row r="1311" spans="4:10">
      <c r="D1311" s="5" t="s">
        <v>266</v>
      </c>
      <c r="E1311" s="4">
        <v>573</v>
      </c>
      <c r="F1311" s="5">
        <v>1719</v>
      </c>
      <c r="H1311" s="257" t="s">
        <v>285</v>
      </c>
      <c r="I1311" s="4">
        <v>200</v>
      </c>
      <c r="J1311" s="5">
        <v>600</v>
      </c>
    </row>
    <row r="1312" spans="4:10">
      <c r="D1312" s="217" t="s">
        <v>4</v>
      </c>
      <c r="E1312" s="217">
        <f>SUM(E1309:E1311)</f>
        <v>758</v>
      </c>
      <c r="F1312" s="217">
        <f>SUM(F1309:F1311)</f>
        <v>2274</v>
      </c>
      <c r="H1312" s="217" t="s">
        <v>4</v>
      </c>
      <c r="I1312" s="217">
        <f>SUM(I1309:I1311)</f>
        <v>827</v>
      </c>
      <c r="J1312" s="217">
        <f>SUM(J1309:J1311)</f>
        <v>2481</v>
      </c>
    </row>
    <row r="1315" spans="4:10">
      <c r="D1315" s="667" t="s">
        <v>0</v>
      </c>
      <c r="E1315" s="667"/>
      <c r="F1315" s="666" t="s">
        <v>184</v>
      </c>
      <c r="H1315" s="667" t="s">
        <v>0</v>
      </c>
      <c r="I1315" s="667"/>
      <c r="J1315" s="666" t="s">
        <v>184</v>
      </c>
    </row>
    <row r="1316" spans="4:10">
      <c r="D1316" s="327" t="s">
        <v>1</v>
      </c>
      <c r="E1316" s="2">
        <v>45919</v>
      </c>
      <c r="F1316" s="668"/>
      <c r="H1316" s="328" t="s">
        <v>1</v>
      </c>
      <c r="I1316" s="2">
        <v>45922</v>
      </c>
      <c r="J1316" s="668"/>
    </row>
    <row r="1317" spans="4:10">
      <c r="D1317" s="327" t="s">
        <v>2</v>
      </c>
      <c r="E1317" s="327" t="s">
        <v>3</v>
      </c>
      <c r="F1317" s="657"/>
      <c r="H1317" s="328" t="s">
        <v>2</v>
      </c>
      <c r="I1317" s="328" t="s">
        <v>3</v>
      </c>
      <c r="J1317" s="657"/>
    </row>
    <row r="1318" spans="4:10">
      <c r="D1318" s="5"/>
      <c r="E1318" s="3"/>
      <c r="F1318" s="5"/>
      <c r="H1318" s="257" t="s">
        <v>287</v>
      </c>
      <c r="I1318" s="3">
        <v>113</v>
      </c>
      <c r="J1318" s="5">
        <v>339</v>
      </c>
    </row>
    <row r="1319" spans="4:10">
      <c r="D1319" s="5" t="s">
        <v>286</v>
      </c>
      <c r="E1319" s="4">
        <v>143</v>
      </c>
      <c r="F1319" s="5">
        <v>429</v>
      </c>
      <c r="H1319" s="257" t="s">
        <v>288</v>
      </c>
      <c r="I1319" s="4">
        <v>254</v>
      </c>
      <c r="J1319" s="5">
        <v>762</v>
      </c>
    </row>
    <row r="1320" spans="4:10">
      <c r="D1320" s="257" t="s">
        <v>287</v>
      </c>
      <c r="E1320" s="4">
        <v>687</v>
      </c>
      <c r="F1320" s="5">
        <v>2061</v>
      </c>
      <c r="H1320" s="257" t="s">
        <v>289</v>
      </c>
      <c r="I1320" s="4">
        <v>17</v>
      </c>
      <c r="J1320" s="5">
        <v>51</v>
      </c>
    </row>
    <row r="1321" spans="4:10">
      <c r="D1321" s="217" t="s">
        <v>4</v>
      </c>
      <c r="E1321" s="217">
        <f>SUM(E1318:E1320)</f>
        <v>830</v>
      </c>
      <c r="F1321" s="217">
        <f>SUM(F1318:F1320)</f>
        <v>2490</v>
      </c>
      <c r="H1321" s="217" t="s">
        <v>4</v>
      </c>
      <c r="I1321" s="217">
        <f>SUM(I1318:I1320)</f>
        <v>384</v>
      </c>
      <c r="J1321" s="217">
        <f>SUM(J1318:J1320)</f>
        <v>1152</v>
      </c>
    </row>
    <row r="1323" spans="4:10">
      <c r="D1323" s="667" t="s">
        <v>0</v>
      </c>
      <c r="E1323" s="667"/>
      <c r="F1323" s="666" t="s">
        <v>184</v>
      </c>
      <c r="H1323" s="667" t="s">
        <v>0</v>
      </c>
      <c r="I1323" s="667"/>
      <c r="J1323" s="666" t="s">
        <v>184</v>
      </c>
    </row>
    <row r="1324" spans="4:10">
      <c r="D1324" s="329" t="s">
        <v>1</v>
      </c>
      <c r="E1324" s="2">
        <v>45923</v>
      </c>
      <c r="F1324" s="668"/>
      <c r="H1324" s="330" t="s">
        <v>1</v>
      </c>
      <c r="I1324" s="2">
        <v>45924</v>
      </c>
      <c r="J1324" s="668"/>
    </row>
    <row r="1325" spans="4:10">
      <c r="D1325" s="329" t="s">
        <v>2</v>
      </c>
      <c r="E1325" s="329" t="s">
        <v>3</v>
      </c>
      <c r="F1325" s="657"/>
      <c r="H1325" s="330" t="s">
        <v>2</v>
      </c>
      <c r="I1325" s="330" t="s">
        <v>3</v>
      </c>
      <c r="J1325" s="657"/>
    </row>
    <row r="1326" spans="4:10">
      <c r="D1326" s="257"/>
      <c r="E1326" s="3"/>
      <c r="F1326" s="5"/>
      <c r="H1326" s="257"/>
      <c r="I1326" s="3"/>
      <c r="J1326" s="5"/>
    </row>
    <row r="1327" spans="4:10">
      <c r="D1327" s="257" t="s">
        <v>293</v>
      </c>
      <c r="E1327" s="4">
        <v>383</v>
      </c>
      <c r="F1327" s="5">
        <v>1149</v>
      </c>
      <c r="H1327" s="257" t="s">
        <v>291</v>
      </c>
      <c r="I1327" s="4">
        <v>546</v>
      </c>
      <c r="J1327" s="5">
        <v>1638</v>
      </c>
    </row>
    <row r="1328" spans="4:10">
      <c r="D1328" s="257" t="s">
        <v>292</v>
      </c>
      <c r="E1328" s="4">
        <v>399</v>
      </c>
      <c r="F1328" s="5">
        <v>1197</v>
      </c>
      <c r="H1328" s="257" t="s">
        <v>290</v>
      </c>
      <c r="I1328" s="4">
        <v>207</v>
      </c>
      <c r="J1328" s="5">
        <v>207</v>
      </c>
    </row>
    <row r="1329" spans="4:10">
      <c r="D1329" s="217" t="s">
        <v>4</v>
      </c>
      <c r="E1329" s="217">
        <f>SUM(E1326:E1328)</f>
        <v>782</v>
      </c>
      <c r="F1329" s="217">
        <f>SUM(F1326:F1328)</f>
        <v>2346</v>
      </c>
      <c r="H1329" s="217" t="s">
        <v>4</v>
      </c>
      <c r="I1329" s="217">
        <f>SUM(I1326:I1328)</f>
        <v>753</v>
      </c>
      <c r="J1329" s="217">
        <f>SUM(J1326:J1328)</f>
        <v>1845</v>
      </c>
    </row>
    <row r="1331" spans="4:10">
      <c r="D1331" s="667" t="s">
        <v>0</v>
      </c>
      <c r="E1331" s="667"/>
      <c r="F1331" s="666" t="s">
        <v>184</v>
      </c>
      <c r="H1331" s="667" t="s">
        <v>0</v>
      </c>
      <c r="I1331" s="667"/>
      <c r="J1331" s="666" t="s">
        <v>184</v>
      </c>
    </row>
    <row r="1332" spans="4:10">
      <c r="D1332" s="331" t="s">
        <v>1</v>
      </c>
      <c r="E1332" s="2">
        <v>45925</v>
      </c>
      <c r="F1332" s="668"/>
      <c r="H1332" s="332" t="s">
        <v>1</v>
      </c>
      <c r="I1332" s="2">
        <v>45926</v>
      </c>
      <c r="J1332" s="668"/>
    </row>
    <row r="1333" spans="4:10">
      <c r="D1333" s="331" t="s">
        <v>2</v>
      </c>
      <c r="E1333" s="331" t="s">
        <v>3</v>
      </c>
      <c r="F1333" s="657"/>
      <c r="H1333" s="332" t="s">
        <v>2</v>
      </c>
      <c r="I1333" s="332" t="s">
        <v>3</v>
      </c>
      <c r="J1333" s="657"/>
    </row>
    <row r="1334" spans="4:10">
      <c r="D1334" s="257" t="s">
        <v>294</v>
      </c>
      <c r="E1334" s="3">
        <v>193</v>
      </c>
      <c r="F1334" s="5">
        <v>193</v>
      </c>
      <c r="H1334" s="257"/>
      <c r="I1334" s="3"/>
      <c r="J1334" s="5"/>
    </row>
    <row r="1335" spans="4:10">
      <c r="D1335" s="257" t="s">
        <v>295</v>
      </c>
      <c r="E1335" s="4">
        <v>400</v>
      </c>
      <c r="F1335" s="5">
        <v>400</v>
      </c>
      <c r="H1335" s="257" t="s">
        <v>296</v>
      </c>
      <c r="I1335" s="4">
        <v>211</v>
      </c>
      <c r="J1335" s="5">
        <v>211</v>
      </c>
    </row>
    <row r="1336" spans="4:10">
      <c r="D1336" s="257" t="s">
        <v>296</v>
      </c>
      <c r="E1336" s="4">
        <v>189</v>
      </c>
      <c r="F1336" s="5">
        <v>189</v>
      </c>
      <c r="H1336" s="257" t="s">
        <v>297</v>
      </c>
      <c r="I1336" s="4">
        <v>321</v>
      </c>
      <c r="J1336" s="5">
        <v>321</v>
      </c>
    </row>
    <row r="1337" spans="4:10">
      <c r="D1337" s="217" t="s">
        <v>4</v>
      </c>
      <c r="E1337" s="217">
        <f>SUM(E1334:E1336)</f>
        <v>782</v>
      </c>
      <c r="F1337" s="217">
        <f>SUM(F1334:F1336)</f>
        <v>782</v>
      </c>
      <c r="H1337" s="217" t="s">
        <v>4</v>
      </c>
      <c r="I1337" s="217">
        <f>SUM(I1334:I1336)</f>
        <v>532</v>
      </c>
      <c r="J1337" s="217">
        <f>SUM(J1334:J1336)</f>
        <v>532</v>
      </c>
    </row>
    <row r="1339" spans="4:10">
      <c r="D1339" s="667" t="s">
        <v>0</v>
      </c>
      <c r="E1339" s="667"/>
      <c r="F1339" s="666" t="s">
        <v>184</v>
      </c>
      <c r="H1339" s="667" t="s">
        <v>0</v>
      </c>
      <c r="I1339" s="667"/>
      <c r="J1339" s="666" t="s">
        <v>184</v>
      </c>
    </row>
    <row r="1340" spans="4:10">
      <c r="D1340" s="333" t="s">
        <v>1</v>
      </c>
      <c r="E1340" s="2">
        <v>45929</v>
      </c>
      <c r="F1340" s="668"/>
      <c r="H1340" s="334" t="s">
        <v>1</v>
      </c>
      <c r="I1340" s="2">
        <v>45930</v>
      </c>
      <c r="J1340" s="668"/>
    </row>
    <row r="1341" spans="4:10">
      <c r="D1341" s="333" t="s">
        <v>2</v>
      </c>
      <c r="E1341" s="333" t="s">
        <v>3</v>
      </c>
      <c r="F1341" s="657"/>
      <c r="H1341" s="334" t="s">
        <v>2</v>
      </c>
      <c r="I1341" s="334" t="s">
        <v>3</v>
      </c>
      <c r="J1341" s="657"/>
    </row>
    <row r="1342" spans="4:10">
      <c r="D1342" s="5" t="s">
        <v>298</v>
      </c>
      <c r="E1342" s="3">
        <v>490</v>
      </c>
      <c r="F1342" s="5">
        <v>1470</v>
      </c>
      <c r="H1342" s="257" t="s">
        <v>300</v>
      </c>
      <c r="I1342" s="3"/>
      <c r="J1342" s="5"/>
    </row>
    <row r="1343" spans="4:10">
      <c r="D1343" s="5" t="s">
        <v>299</v>
      </c>
      <c r="E1343" s="4">
        <v>108</v>
      </c>
      <c r="F1343" s="5">
        <v>324</v>
      </c>
      <c r="H1343" s="5" t="s">
        <v>299</v>
      </c>
      <c r="I1343" s="4">
        <v>592</v>
      </c>
      <c r="J1343" s="5">
        <v>1776</v>
      </c>
    </row>
    <row r="1344" spans="4:10">
      <c r="D1344" s="257"/>
      <c r="E1344" s="4"/>
      <c r="F1344" s="5"/>
      <c r="H1344" s="5" t="s">
        <v>301</v>
      </c>
      <c r="I1344" s="4">
        <v>280</v>
      </c>
      <c r="J1344" s="5">
        <v>840</v>
      </c>
    </row>
    <row r="1345" spans="4:10">
      <c r="D1345" s="217" t="s">
        <v>4</v>
      </c>
      <c r="E1345" s="217">
        <f>SUM(E1342:E1344)</f>
        <v>598</v>
      </c>
      <c r="F1345" s="217">
        <f>SUM(F1342:F1344)</f>
        <v>1794</v>
      </c>
      <c r="H1345" s="217" t="s">
        <v>4</v>
      </c>
      <c r="I1345" s="217">
        <f>SUM(I1342:I1344)</f>
        <v>872</v>
      </c>
      <c r="J1345" s="217">
        <f>SUM(J1342:J1344)</f>
        <v>2616</v>
      </c>
    </row>
    <row r="1347" spans="4:10">
      <c r="D1347" s="667" t="s">
        <v>0</v>
      </c>
      <c r="E1347" s="667"/>
      <c r="F1347" s="666" t="s">
        <v>184</v>
      </c>
      <c r="H1347" s="667" t="s">
        <v>0</v>
      </c>
      <c r="I1347" s="667"/>
      <c r="J1347" s="666" t="s">
        <v>184</v>
      </c>
    </row>
    <row r="1348" spans="4:10">
      <c r="D1348" s="335" t="s">
        <v>1</v>
      </c>
      <c r="E1348" s="2">
        <v>45931</v>
      </c>
      <c r="F1348" s="668"/>
      <c r="H1348" s="336" t="s">
        <v>1</v>
      </c>
      <c r="I1348" s="2">
        <v>45932</v>
      </c>
      <c r="J1348" s="668"/>
    </row>
    <row r="1349" spans="4:10">
      <c r="D1349" s="335" t="s">
        <v>2</v>
      </c>
      <c r="E1349" s="335" t="s">
        <v>3</v>
      </c>
      <c r="F1349" s="657"/>
      <c r="H1349" s="336" t="s">
        <v>2</v>
      </c>
      <c r="I1349" s="336" t="s">
        <v>3</v>
      </c>
      <c r="J1349" s="657"/>
    </row>
    <row r="1350" spans="4:10">
      <c r="D1350" s="5" t="s">
        <v>303</v>
      </c>
      <c r="E1350" s="3">
        <v>120</v>
      </c>
      <c r="F1350" s="5">
        <v>360</v>
      </c>
      <c r="H1350" s="257" t="s">
        <v>300</v>
      </c>
      <c r="I1350" s="3"/>
      <c r="J1350" s="5"/>
    </row>
    <row r="1351" spans="4:10">
      <c r="D1351" s="5" t="s">
        <v>302</v>
      </c>
      <c r="E1351" s="4">
        <v>400</v>
      </c>
      <c r="F1351" s="5">
        <v>1200</v>
      </c>
      <c r="H1351" s="5" t="s">
        <v>305</v>
      </c>
      <c r="I1351" s="4">
        <v>101</v>
      </c>
      <c r="J1351" s="5">
        <f>PRODUCT(I1351,3)</f>
        <v>303</v>
      </c>
    </row>
    <row r="1352" spans="4:10">
      <c r="D1352" s="5" t="s">
        <v>304</v>
      </c>
      <c r="E1352" s="4">
        <v>300</v>
      </c>
      <c r="F1352" s="5">
        <v>900</v>
      </c>
      <c r="H1352" s="5" t="s">
        <v>306</v>
      </c>
      <c r="I1352" s="4">
        <v>384</v>
      </c>
      <c r="J1352" s="5">
        <f>PRODUCT(,I1352,3)</f>
        <v>1152</v>
      </c>
    </row>
    <row r="1353" spans="4:10">
      <c r="D1353" s="217" t="s">
        <v>4</v>
      </c>
      <c r="E1353" s="217">
        <f>SUM(E1350:E1352)</f>
        <v>820</v>
      </c>
      <c r="F1353" s="217">
        <f>SUM(F1350:F1352)</f>
        <v>2460</v>
      </c>
      <c r="H1353" s="217" t="s">
        <v>4</v>
      </c>
      <c r="I1353" s="217">
        <f>SUM(I1350:I1352)</f>
        <v>485</v>
      </c>
      <c r="J1353" s="217">
        <f>SUM(J1350:J1352)</f>
        <v>1455</v>
      </c>
    </row>
    <row r="1355" spans="4:10">
      <c r="D1355" s="667" t="s">
        <v>0</v>
      </c>
      <c r="E1355" s="667"/>
      <c r="F1355" s="666" t="s">
        <v>184</v>
      </c>
      <c r="H1355" s="667" t="s">
        <v>0</v>
      </c>
      <c r="I1355" s="667"/>
      <c r="J1355" s="666" t="s">
        <v>184</v>
      </c>
    </row>
    <row r="1356" spans="4:10">
      <c r="D1356" s="337" t="s">
        <v>1</v>
      </c>
      <c r="E1356" s="2">
        <v>45936</v>
      </c>
      <c r="F1356" s="668"/>
      <c r="H1356" s="338" t="s">
        <v>1</v>
      </c>
      <c r="I1356" s="2">
        <v>45937</v>
      </c>
      <c r="J1356" s="668"/>
    </row>
    <row r="1357" spans="4:10">
      <c r="D1357" s="337" t="s">
        <v>2</v>
      </c>
      <c r="E1357" s="337" t="s">
        <v>3</v>
      </c>
      <c r="F1357" s="657"/>
      <c r="H1357" s="338" t="s">
        <v>2</v>
      </c>
      <c r="I1357" s="338" t="s">
        <v>3</v>
      </c>
      <c r="J1357" s="657"/>
    </row>
    <row r="1358" spans="4:10">
      <c r="D1358" s="257" t="s">
        <v>300</v>
      </c>
      <c r="E1358" s="3"/>
      <c r="F1358" s="5"/>
      <c r="H1358" s="257" t="s">
        <v>308</v>
      </c>
      <c r="I1358" s="3">
        <v>229</v>
      </c>
      <c r="J1358" s="5">
        <v>687</v>
      </c>
    </row>
    <row r="1359" spans="4:10">
      <c r="D1359" s="5" t="s">
        <v>307</v>
      </c>
      <c r="E1359" s="4">
        <v>406</v>
      </c>
      <c r="F1359" s="5">
        <f>PRODUCT(E1359,3)</f>
        <v>1218</v>
      </c>
      <c r="H1359" s="5" t="s">
        <v>309</v>
      </c>
      <c r="I1359" s="4">
        <v>400</v>
      </c>
      <c r="J1359" s="5">
        <v>1200</v>
      </c>
    </row>
    <row r="1360" spans="4:10">
      <c r="D1360" s="5" t="s">
        <v>308</v>
      </c>
      <c r="E1360" s="4">
        <v>170</v>
      </c>
      <c r="F1360" s="5">
        <f>PRODUCT(,E1360,3)</f>
        <v>510</v>
      </c>
      <c r="H1360" s="5" t="s">
        <v>310</v>
      </c>
      <c r="I1360" s="4">
        <v>15</v>
      </c>
      <c r="J1360" s="5">
        <v>45</v>
      </c>
    </row>
    <row r="1361" spans="4:10">
      <c r="D1361" s="217" t="s">
        <v>4</v>
      </c>
      <c r="E1361" s="217">
        <f>SUM(E1358:E1360)</f>
        <v>576</v>
      </c>
      <c r="F1361" s="217">
        <f>SUM(F1358:F1360)</f>
        <v>1728</v>
      </c>
      <c r="H1361" s="217" t="s">
        <v>4</v>
      </c>
      <c r="I1361" s="217">
        <f>SUM(I1358:I1360)</f>
        <v>644</v>
      </c>
      <c r="J1361" s="217">
        <f>SUM(J1358:J1360)</f>
        <v>1932</v>
      </c>
    </row>
    <row r="1363" spans="4:10" ht="15" customHeight="1">
      <c r="D1363" s="667" t="s">
        <v>0</v>
      </c>
      <c r="E1363" s="667"/>
      <c r="F1363" s="666" t="s">
        <v>184</v>
      </c>
      <c r="H1363" s="667" t="s">
        <v>0</v>
      </c>
      <c r="I1363" s="667"/>
      <c r="J1363" s="666" t="s">
        <v>184</v>
      </c>
    </row>
    <row r="1364" spans="4:10">
      <c r="D1364" s="339" t="s">
        <v>1</v>
      </c>
      <c r="E1364" s="2">
        <v>45938</v>
      </c>
      <c r="F1364" s="668"/>
      <c r="H1364" s="340" t="s">
        <v>1</v>
      </c>
      <c r="I1364" s="2">
        <v>45939</v>
      </c>
      <c r="J1364" s="668"/>
    </row>
    <row r="1365" spans="4:10">
      <c r="D1365" s="339" t="s">
        <v>2</v>
      </c>
      <c r="E1365" s="339" t="s">
        <v>3</v>
      </c>
      <c r="F1365" s="657"/>
      <c r="H1365" s="340" t="s">
        <v>2</v>
      </c>
      <c r="I1365" s="340" t="s">
        <v>3</v>
      </c>
      <c r="J1365" s="657"/>
    </row>
    <row r="1366" spans="4:10">
      <c r="D1366" s="5" t="s">
        <v>311</v>
      </c>
      <c r="E1366" s="3">
        <v>385</v>
      </c>
      <c r="F1366" s="5">
        <v>1155</v>
      </c>
      <c r="H1366" s="257" t="s">
        <v>300</v>
      </c>
      <c r="I1366" s="3"/>
      <c r="J1366" s="5"/>
    </row>
    <row r="1367" spans="4:10">
      <c r="D1367" s="5" t="s">
        <v>305</v>
      </c>
      <c r="E1367" s="4">
        <v>400</v>
      </c>
      <c r="F1367" s="5">
        <v>1200</v>
      </c>
      <c r="H1367" s="5" t="s">
        <v>312</v>
      </c>
      <c r="I1367" s="4">
        <v>451</v>
      </c>
      <c r="J1367" s="5">
        <f>PRODUCT(I1367,3)</f>
        <v>1353</v>
      </c>
    </row>
    <row r="1368" spans="4:10">
      <c r="D1368" s="5" t="s">
        <v>307</v>
      </c>
      <c r="E1368" s="4">
        <v>219</v>
      </c>
      <c r="F1368" s="5">
        <v>657</v>
      </c>
      <c r="H1368" s="5" t="s">
        <v>300</v>
      </c>
      <c r="I1368" s="4"/>
      <c r="J1368" s="5"/>
    </row>
    <row r="1369" spans="4:10">
      <c r="D1369" s="217" t="s">
        <v>4</v>
      </c>
      <c r="E1369" s="217">
        <f>SUM(E1366:E1368)</f>
        <v>1004</v>
      </c>
      <c r="F1369" s="217">
        <f>SUM(F1366:F1368)</f>
        <v>3012</v>
      </c>
      <c r="H1369" s="217" t="s">
        <v>4</v>
      </c>
      <c r="I1369" s="217">
        <f>SUM(I1366:I1368)</f>
        <v>451</v>
      </c>
      <c r="J1369" s="217">
        <f>SUM(J1366:J1368)</f>
        <v>1353</v>
      </c>
    </row>
    <row r="1372" spans="4:10">
      <c r="D1372" s="667" t="s">
        <v>0</v>
      </c>
      <c r="E1372" s="667"/>
      <c r="F1372" s="666" t="s">
        <v>184</v>
      </c>
      <c r="H1372" s="667" t="s">
        <v>0</v>
      </c>
      <c r="I1372" s="667"/>
      <c r="J1372" s="666" t="s">
        <v>184</v>
      </c>
    </row>
    <row r="1373" spans="4:10">
      <c r="D1373" s="340" t="s">
        <v>1</v>
      </c>
      <c r="E1373" s="2">
        <v>45940</v>
      </c>
      <c r="F1373" s="668"/>
      <c r="H1373" s="340" t="s">
        <v>1</v>
      </c>
      <c r="I1373" s="2">
        <v>45941</v>
      </c>
      <c r="J1373" s="668"/>
    </row>
    <row r="1374" spans="4:10">
      <c r="D1374" s="340" t="s">
        <v>2</v>
      </c>
      <c r="E1374" s="340" t="s">
        <v>3</v>
      </c>
      <c r="F1374" s="657"/>
      <c r="H1374" s="340" t="s">
        <v>2</v>
      </c>
      <c r="I1374" s="340" t="s">
        <v>3</v>
      </c>
      <c r="J1374" s="657"/>
    </row>
    <row r="1375" spans="4:10">
      <c r="D1375" s="257" t="s">
        <v>313</v>
      </c>
      <c r="E1375" s="3">
        <v>400</v>
      </c>
      <c r="F1375" s="5">
        <v>1200</v>
      </c>
      <c r="H1375" s="257" t="s">
        <v>315</v>
      </c>
      <c r="I1375" s="3">
        <v>111</v>
      </c>
      <c r="J1375" s="5">
        <v>333</v>
      </c>
    </row>
    <row r="1376" spans="4:10">
      <c r="D1376" s="5" t="s">
        <v>314</v>
      </c>
      <c r="E1376" s="4">
        <v>31</v>
      </c>
      <c r="F1376" s="5">
        <f>PRODUCT(E1376,3)</f>
        <v>93</v>
      </c>
      <c r="H1376" s="5" t="s">
        <v>316</v>
      </c>
      <c r="I1376" s="4">
        <v>52</v>
      </c>
      <c r="J1376" s="5">
        <f>PRODUCT(I1376,3)</f>
        <v>156</v>
      </c>
    </row>
    <row r="1377" spans="4:10">
      <c r="D1377" s="5" t="s">
        <v>300</v>
      </c>
      <c r="E1377" s="4"/>
      <c r="F1377" s="5"/>
      <c r="H1377" s="5" t="s">
        <v>317</v>
      </c>
      <c r="I1377" s="4">
        <v>44</v>
      </c>
      <c r="J1377" s="5">
        <v>132</v>
      </c>
    </row>
    <row r="1378" spans="4:10">
      <c r="D1378" s="217" t="s">
        <v>4</v>
      </c>
      <c r="E1378" s="217">
        <f>SUM(E1375:E1377)</f>
        <v>431</v>
      </c>
      <c r="F1378" s="217">
        <f>SUM(F1375:F1377)</f>
        <v>1293</v>
      </c>
      <c r="H1378" s="217" t="s">
        <v>4</v>
      </c>
      <c r="I1378" s="217">
        <f>SUM(I1375:I1377)</f>
        <v>207</v>
      </c>
      <c r="J1378" s="217">
        <f>SUM(J1375:J1377)</f>
        <v>621</v>
      </c>
    </row>
    <row r="1381" spans="4:10" ht="15" customHeight="1">
      <c r="D1381" s="669" t="s">
        <v>0</v>
      </c>
      <c r="E1381" s="670"/>
      <c r="F1381" s="666" t="s">
        <v>184</v>
      </c>
      <c r="H1381" s="669" t="s">
        <v>0</v>
      </c>
      <c r="I1381" s="670"/>
      <c r="J1381" s="666" t="s">
        <v>184</v>
      </c>
    </row>
    <row r="1382" spans="4:10">
      <c r="D1382" s="340" t="s">
        <v>1</v>
      </c>
      <c r="E1382" s="2">
        <v>45944</v>
      </c>
      <c r="F1382" s="668"/>
      <c r="H1382" s="341" t="s">
        <v>1</v>
      </c>
      <c r="I1382" s="2">
        <v>45945</v>
      </c>
      <c r="J1382" s="668"/>
    </row>
    <row r="1383" spans="4:10">
      <c r="D1383" s="340" t="s">
        <v>2</v>
      </c>
      <c r="E1383" s="340" t="s">
        <v>3</v>
      </c>
      <c r="F1383" s="657"/>
      <c r="H1383" s="341" t="s">
        <v>2</v>
      </c>
      <c r="I1383" s="341" t="s">
        <v>3</v>
      </c>
      <c r="J1383" s="657"/>
    </row>
    <row r="1384" spans="4:10">
      <c r="D1384" s="257" t="s">
        <v>318</v>
      </c>
      <c r="E1384" s="3">
        <v>385</v>
      </c>
      <c r="F1384" s="5">
        <v>1155</v>
      </c>
      <c r="H1384" s="257" t="s">
        <v>320</v>
      </c>
      <c r="I1384" s="3">
        <v>152</v>
      </c>
      <c r="J1384" s="5">
        <v>456</v>
      </c>
    </row>
    <row r="1385" spans="4:10">
      <c r="D1385" s="5" t="s">
        <v>319</v>
      </c>
      <c r="E1385" s="4">
        <v>398</v>
      </c>
      <c r="F1385" s="5">
        <f>PRODUCT(E1385,3)</f>
        <v>1194</v>
      </c>
      <c r="H1385" s="345" t="s">
        <v>321</v>
      </c>
      <c r="I1385" s="4">
        <v>181</v>
      </c>
      <c r="J1385" s="5">
        <f>PRODUCT(I1385,3)</f>
        <v>543</v>
      </c>
    </row>
    <row r="1386" spans="4:10">
      <c r="D1386" s="5" t="s">
        <v>320</v>
      </c>
      <c r="E1386" s="4">
        <v>251</v>
      </c>
      <c r="F1386" s="5">
        <v>753</v>
      </c>
      <c r="H1386" s="5" t="s">
        <v>300</v>
      </c>
      <c r="I1386" s="4"/>
      <c r="J1386" s="5"/>
    </row>
    <row r="1387" spans="4:10">
      <c r="D1387" s="217" t="s">
        <v>4</v>
      </c>
      <c r="E1387" s="217">
        <f>SUM(E1384:E1386)</f>
        <v>1034</v>
      </c>
      <c r="F1387" s="217">
        <f>SUM(F1384:F1386)</f>
        <v>3102</v>
      </c>
      <c r="H1387" s="217" t="s">
        <v>4</v>
      </c>
      <c r="I1387" s="217">
        <f>SUM(I1384:I1386)</f>
        <v>333</v>
      </c>
      <c r="J1387" s="217">
        <f>SUM(J1384:J1386)</f>
        <v>999</v>
      </c>
    </row>
    <row r="1390" spans="4:10">
      <c r="D1390" s="669" t="s">
        <v>0</v>
      </c>
      <c r="E1390" s="670"/>
      <c r="F1390" s="666" t="s">
        <v>184</v>
      </c>
      <c r="H1390" s="669" t="s">
        <v>0</v>
      </c>
      <c r="I1390" s="670"/>
      <c r="J1390" s="666" t="s">
        <v>184</v>
      </c>
    </row>
    <row r="1391" spans="4:10">
      <c r="D1391" s="346" t="s">
        <v>1</v>
      </c>
      <c r="E1391" s="2">
        <v>45946</v>
      </c>
      <c r="F1391" s="668"/>
      <c r="H1391" s="344" t="s">
        <v>1</v>
      </c>
      <c r="I1391" s="2">
        <v>45947</v>
      </c>
      <c r="J1391" s="668"/>
    </row>
    <row r="1392" spans="4:10">
      <c r="D1392" s="346" t="s">
        <v>2</v>
      </c>
      <c r="E1392" s="346" t="s">
        <v>3</v>
      </c>
      <c r="F1392" s="657"/>
      <c r="H1392" s="344" t="s">
        <v>2</v>
      </c>
      <c r="I1392" s="344" t="s">
        <v>3</v>
      </c>
      <c r="J1392" s="657"/>
    </row>
    <row r="1393" spans="4:10">
      <c r="D1393" s="5" t="s">
        <v>463</v>
      </c>
      <c r="E1393" s="3">
        <v>770</v>
      </c>
      <c r="F1393" s="5">
        <v>2310</v>
      </c>
      <c r="H1393" s="3" t="s">
        <v>323</v>
      </c>
      <c r="I1393" s="3">
        <v>49</v>
      </c>
      <c r="J1393" s="5">
        <v>147</v>
      </c>
    </row>
    <row r="1394" spans="4:10">
      <c r="D1394" s="345"/>
      <c r="E1394" s="4"/>
      <c r="F1394" s="5"/>
      <c r="H1394" s="3" t="s">
        <v>324</v>
      </c>
      <c r="I1394" s="4">
        <v>800</v>
      </c>
      <c r="J1394" s="5">
        <v>4000</v>
      </c>
    </row>
    <row r="1395" spans="4:10">
      <c r="D1395" s="5" t="s">
        <v>300</v>
      </c>
      <c r="E1395" s="4"/>
      <c r="F1395" s="5"/>
      <c r="H1395" s="3" t="s">
        <v>325</v>
      </c>
      <c r="I1395" s="4">
        <v>94</v>
      </c>
      <c r="J1395" s="5">
        <v>470</v>
      </c>
    </row>
    <row r="1396" spans="4:10">
      <c r="D1396" s="217" t="s">
        <v>4</v>
      </c>
      <c r="E1396" s="217">
        <f>SUM(E1393:E1395)</f>
        <v>770</v>
      </c>
      <c r="F1396" s="217">
        <f>SUM(F1393:F1395)</f>
        <v>2310</v>
      </c>
      <c r="H1396" s="217" t="s">
        <v>4</v>
      </c>
      <c r="I1396" s="217">
        <f>SUM(I1393:I1395)</f>
        <v>943</v>
      </c>
      <c r="J1396" s="217">
        <f>SUM(J1393:J1395)</f>
        <v>4617</v>
      </c>
    </row>
    <row r="1399" spans="4:10">
      <c r="D1399" s="669" t="s">
        <v>0</v>
      </c>
      <c r="E1399" s="670"/>
      <c r="F1399" s="666" t="s">
        <v>184</v>
      </c>
      <c r="H1399" s="669" t="s">
        <v>0</v>
      </c>
      <c r="I1399" s="670"/>
      <c r="J1399" s="666" t="s">
        <v>184</v>
      </c>
    </row>
    <row r="1400" spans="4:10">
      <c r="D1400" s="344" t="s">
        <v>1</v>
      </c>
      <c r="E1400" s="2">
        <v>45950</v>
      </c>
      <c r="F1400" s="668"/>
      <c r="H1400" s="346" t="s">
        <v>1</v>
      </c>
      <c r="I1400" s="2">
        <v>45951</v>
      </c>
      <c r="J1400" s="668"/>
    </row>
    <row r="1401" spans="4:10">
      <c r="D1401" s="344" t="s">
        <v>2</v>
      </c>
      <c r="E1401" s="344" t="s">
        <v>3</v>
      </c>
      <c r="F1401" s="657"/>
      <c r="H1401" s="346" t="s">
        <v>2</v>
      </c>
      <c r="I1401" s="346" t="s">
        <v>3</v>
      </c>
      <c r="J1401" s="657"/>
    </row>
    <row r="1402" spans="4:10">
      <c r="D1402" s="257"/>
      <c r="E1402" s="3"/>
      <c r="F1402" s="5"/>
      <c r="H1402" s="257"/>
      <c r="I1402" s="3"/>
      <c r="J1402" s="5"/>
    </row>
    <row r="1403" spans="4:10">
      <c r="D1403" s="345" t="s">
        <v>322</v>
      </c>
      <c r="E1403" s="4">
        <v>524</v>
      </c>
      <c r="F1403" s="5">
        <v>2620</v>
      </c>
      <c r="H1403" s="347" t="s">
        <v>255</v>
      </c>
      <c r="I1403" s="4">
        <v>469</v>
      </c>
      <c r="J1403" s="5">
        <v>1407</v>
      </c>
    </row>
    <row r="1404" spans="4:10">
      <c r="D1404" s="347" t="s">
        <v>255</v>
      </c>
      <c r="E1404" s="4">
        <v>331</v>
      </c>
      <c r="F1404" s="5">
        <v>993</v>
      </c>
      <c r="H1404" s="347" t="s">
        <v>326</v>
      </c>
      <c r="I1404" s="4">
        <v>282</v>
      </c>
      <c r="J1404" s="5">
        <v>846</v>
      </c>
    </row>
    <row r="1405" spans="4:10">
      <c r="D1405" s="217" t="s">
        <v>4</v>
      </c>
      <c r="E1405" s="217">
        <f>SUM(E1402:E1404)</f>
        <v>855</v>
      </c>
      <c r="F1405" s="217">
        <f>SUM(F1402:F1404)</f>
        <v>3613</v>
      </c>
      <c r="H1405" s="217" t="s">
        <v>4</v>
      </c>
      <c r="I1405" s="217">
        <f>SUM(I1402:I1404)</f>
        <v>751</v>
      </c>
      <c r="J1405" s="217">
        <f>SUM(J1402:J1404)</f>
        <v>2253</v>
      </c>
    </row>
    <row r="1407" spans="4:10">
      <c r="D1407" s="669" t="s">
        <v>0</v>
      </c>
      <c r="E1407" s="670"/>
      <c r="F1407" s="666" t="s">
        <v>184</v>
      </c>
      <c r="H1407" s="669" t="s">
        <v>0</v>
      </c>
      <c r="I1407" s="670"/>
      <c r="J1407" s="666" t="s">
        <v>184</v>
      </c>
    </row>
    <row r="1408" spans="4:10">
      <c r="D1408" s="348" t="s">
        <v>1</v>
      </c>
      <c r="E1408" s="2">
        <v>45952</v>
      </c>
      <c r="F1408" s="668"/>
      <c r="H1408" s="349" t="s">
        <v>1</v>
      </c>
      <c r="I1408" s="2">
        <v>45953</v>
      </c>
      <c r="J1408" s="668"/>
    </row>
    <row r="1409" spans="4:10">
      <c r="D1409" s="348" t="s">
        <v>2</v>
      </c>
      <c r="E1409" s="348" t="s">
        <v>3</v>
      </c>
      <c r="F1409" s="657"/>
      <c r="H1409" s="349" t="s">
        <v>2</v>
      </c>
      <c r="I1409" s="349" t="s">
        <v>3</v>
      </c>
      <c r="J1409" s="657"/>
    </row>
    <row r="1410" spans="4:10">
      <c r="D1410" s="257" t="s">
        <v>327</v>
      </c>
      <c r="E1410" s="3">
        <v>518</v>
      </c>
      <c r="F1410" s="5">
        <v>1554</v>
      </c>
      <c r="H1410" s="257"/>
      <c r="I1410" s="3"/>
      <c r="J1410" s="5"/>
    </row>
    <row r="1411" spans="4:10">
      <c r="D1411" s="347" t="s">
        <v>328</v>
      </c>
      <c r="E1411" s="4">
        <v>33</v>
      </c>
      <c r="F1411" s="5">
        <v>99</v>
      </c>
      <c r="H1411" s="347"/>
      <c r="I1411" s="4"/>
      <c r="J1411" s="5"/>
    </row>
    <row r="1412" spans="4:10">
      <c r="D1412" s="347" t="s">
        <v>329</v>
      </c>
      <c r="E1412" s="4">
        <v>34</v>
      </c>
      <c r="F1412" s="5">
        <v>102</v>
      </c>
      <c r="H1412" s="3" t="s">
        <v>330</v>
      </c>
      <c r="I1412" s="4">
        <v>793</v>
      </c>
      <c r="J1412" s="5">
        <v>2379</v>
      </c>
    </row>
    <row r="1413" spans="4:10">
      <c r="D1413" s="217" t="s">
        <v>4</v>
      </c>
      <c r="E1413" s="217">
        <f>SUM(E1410:E1412)</f>
        <v>585</v>
      </c>
      <c r="F1413" s="217">
        <f>SUM(F1410:F1412)</f>
        <v>1755</v>
      </c>
      <c r="H1413" s="217" t="s">
        <v>4</v>
      </c>
      <c r="I1413" s="217">
        <f>SUM(I1410:I1412)</f>
        <v>793</v>
      </c>
      <c r="J1413" s="217">
        <f>SUM(J1410:J1412)</f>
        <v>2379</v>
      </c>
    </row>
    <row r="1415" spans="4:10">
      <c r="D1415" s="669" t="s">
        <v>0</v>
      </c>
      <c r="E1415" s="670"/>
      <c r="F1415" s="666" t="s">
        <v>184</v>
      </c>
      <c r="H1415" s="669" t="s">
        <v>0</v>
      </c>
      <c r="I1415" s="670"/>
      <c r="J1415" s="666" t="s">
        <v>184</v>
      </c>
    </row>
    <row r="1416" spans="4:10">
      <c r="D1416" s="350" t="s">
        <v>1</v>
      </c>
      <c r="E1416" s="2">
        <v>45954</v>
      </c>
      <c r="F1416" s="668"/>
      <c r="H1416" s="351" t="s">
        <v>1</v>
      </c>
      <c r="I1416" s="2">
        <v>45957</v>
      </c>
      <c r="J1416" s="668"/>
    </row>
    <row r="1417" spans="4:10">
      <c r="D1417" s="350" t="s">
        <v>2</v>
      </c>
      <c r="E1417" s="350" t="s">
        <v>3</v>
      </c>
      <c r="F1417" s="657"/>
      <c r="H1417" s="351" t="s">
        <v>2</v>
      </c>
      <c r="I1417" s="351" t="s">
        <v>3</v>
      </c>
      <c r="J1417" s="657"/>
    </row>
    <row r="1418" spans="4:10">
      <c r="D1418" s="257"/>
      <c r="E1418" s="3"/>
      <c r="F1418" s="5"/>
      <c r="H1418" s="257"/>
      <c r="I1418" s="3"/>
      <c r="J1418" s="5"/>
    </row>
    <row r="1419" spans="4:10">
      <c r="D1419" s="347" t="s">
        <v>331</v>
      </c>
      <c r="E1419" s="4">
        <v>460</v>
      </c>
      <c r="F1419" s="5">
        <v>1380</v>
      </c>
      <c r="H1419" s="5" t="s">
        <v>331</v>
      </c>
      <c r="I1419" s="4">
        <v>340</v>
      </c>
      <c r="J1419" s="5">
        <v>1020</v>
      </c>
    </row>
    <row r="1420" spans="4:10">
      <c r="D1420" s="3"/>
      <c r="E1420" s="4"/>
      <c r="F1420" s="5"/>
      <c r="H1420" s="3" t="s">
        <v>222</v>
      </c>
      <c r="I1420" s="4">
        <v>280</v>
      </c>
      <c r="J1420" s="5">
        <v>840</v>
      </c>
    </row>
    <row r="1421" spans="4:10">
      <c r="D1421" s="217" t="s">
        <v>4</v>
      </c>
      <c r="E1421" s="217">
        <f>SUM(E1418:E1420)</f>
        <v>460</v>
      </c>
      <c r="F1421" s="217">
        <f>SUM(F1418:F1420)</f>
        <v>1380</v>
      </c>
      <c r="H1421" s="217" t="s">
        <v>4</v>
      </c>
      <c r="I1421" s="217">
        <f>SUM(I1418:I1420)</f>
        <v>620</v>
      </c>
      <c r="J1421" s="217">
        <f>SUM(J1418:J1420)</f>
        <v>1860</v>
      </c>
    </row>
    <row r="1423" spans="4:10">
      <c r="D1423" s="669" t="s">
        <v>0</v>
      </c>
      <c r="E1423" s="670"/>
      <c r="F1423" s="666" t="s">
        <v>184</v>
      </c>
      <c r="H1423" s="669" t="s">
        <v>0</v>
      </c>
      <c r="I1423" s="670"/>
      <c r="J1423" s="666" t="s">
        <v>184</v>
      </c>
    </row>
    <row r="1424" spans="4:10">
      <c r="D1424" s="352" t="s">
        <v>1</v>
      </c>
      <c r="E1424" s="2">
        <v>45958</v>
      </c>
      <c r="F1424" s="668"/>
      <c r="H1424" s="353" t="s">
        <v>1</v>
      </c>
      <c r="I1424" s="2">
        <v>45959</v>
      </c>
      <c r="J1424" s="668"/>
    </row>
    <row r="1425" spans="4:10">
      <c r="D1425" s="352" t="s">
        <v>2</v>
      </c>
      <c r="E1425" s="352" t="s">
        <v>3</v>
      </c>
      <c r="F1425" s="657"/>
      <c r="H1425" s="353" t="s">
        <v>2</v>
      </c>
      <c r="I1425" s="353" t="s">
        <v>3</v>
      </c>
      <c r="J1425" s="657"/>
    </row>
    <row r="1426" spans="4:10">
      <c r="D1426" s="257" t="s">
        <v>5</v>
      </c>
      <c r="E1426" s="3">
        <v>11</v>
      </c>
      <c r="F1426" s="5">
        <v>33</v>
      </c>
      <c r="H1426" s="257" t="s">
        <v>92</v>
      </c>
      <c r="I1426" s="3">
        <v>687</v>
      </c>
      <c r="J1426" s="5">
        <v>2061</v>
      </c>
    </row>
    <row r="1427" spans="4:10">
      <c r="D1427" s="5"/>
      <c r="E1427" s="4"/>
      <c r="F1427" s="5"/>
      <c r="H1427" s="5"/>
      <c r="I1427" s="4"/>
      <c r="J1427" s="5"/>
    </row>
    <row r="1428" spans="4:10">
      <c r="D1428" s="3"/>
      <c r="E1428" s="4"/>
      <c r="F1428" s="5"/>
      <c r="H1428" s="3"/>
      <c r="I1428" s="4"/>
      <c r="J1428" s="5"/>
    </row>
    <row r="1429" spans="4:10">
      <c r="D1429" s="217" t="s">
        <v>4</v>
      </c>
      <c r="E1429" s="217">
        <f>SUM(E1426:E1428)</f>
        <v>11</v>
      </c>
      <c r="F1429" s="217">
        <f>SUM(F1426:F1428)</f>
        <v>33</v>
      </c>
      <c r="H1429" s="217" t="s">
        <v>4</v>
      </c>
      <c r="I1429" s="217">
        <f>SUM(I1426:I1428)</f>
        <v>687</v>
      </c>
      <c r="J1429" s="217">
        <f>SUM(J1426:J1428)</f>
        <v>2061</v>
      </c>
    </row>
    <row r="1431" spans="4:10">
      <c r="D1431" s="669" t="s">
        <v>0</v>
      </c>
      <c r="E1431" s="670"/>
      <c r="F1431" s="666" t="s">
        <v>184</v>
      </c>
      <c r="H1431" s="669" t="s">
        <v>0</v>
      </c>
      <c r="I1431" s="670"/>
      <c r="J1431" s="666" t="s">
        <v>184</v>
      </c>
    </row>
    <row r="1432" spans="4:10">
      <c r="D1432" s="354" t="s">
        <v>1</v>
      </c>
      <c r="E1432" s="2">
        <v>45960</v>
      </c>
      <c r="F1432" s="668"/>
      <c r="H1432" s="355" t="s">
        <v>1</v>
      </c>
      <c r="I1432" s="2">
        <v>45961</v>
      </c>
      <c r="J1432" s="668"/>
    </row>
    <row r="1433" spans="4:10">
      <c r="D1433" s="354" t="s">
        <v>2</v>
      </c>
      <c r="E1433" s="354" t="s">
        <v>3</v>
      </c>
      <c r="F1433" s="657"/>
      <c r="H1433" s="355" t="s">
        <v>2</v>
      </c>
      <c r="I1433" s="355" t="s">
        <v>3</v>
      </c>
      <c r="J1433" s="657"/>
    </row>
    <row r="1434" spans="4:10">
      <c r="D1434" s="257" t="s">
        <v>333</v>
      </c>
      <c r="E1434" s="3">
        <v>517</v>
      </c>
      <c r="F1434" s="5">
        <v>1551</v>
      </c>
      <c r="H1434" s="5" t="s">
        <v>334</v>
      </c>
      <c r="I1434" s="3">
        <v>166</v>
      </c>
      <c r="J1434" s="5">
        <v>498</v>
      </c>
    </row>
    <row r="1435" spans="4:10">
      <c r="D1435" s="5" t="s">
        <v>334</v>
      </c>
      <c r="E1435" s="4">
        <v>265</v>
      </c>
      <c r="F1435" s="5">
        <v>795</v>
      </c>
      <c r="H1435" s="5" t="s">
        <v>332</v>
      </c>
      <c r="I1435" s="4">
        <v>420</v>
      </c>
      <c r="J1435" s="5">
        <v>1260</v>
      </c>
    </row>
    <row r="1436" spans="4:10">
      <c r="D1436" s="3"/>
      <c r="E1436" s="4"/>
      <c r="F1436" s="5"/>
      <c r="H1436" s="3" t="s">
        <v>335</v>
      </c>
      <c r="I1436" s="4">
        <v>292</v>
      </c>
      <c r="J1436" s="5">
        <v>876</v>
      </c>
    </row>
    <row r="1437" spans="4:10">
      <c r="D1437" s="217" t="s">
        <v>4</v>
      </c>
      <c r="E1437" s="217">
        <f>SUM(E1434:E1436)</f>
        <v>782</v>
      </c>
      <c r="F1437" s="217">
        <f>SUM(F1434:F1436)</f>
        <v>2346</v>
      </c>
      <c r="H1437" s="217" t="s">
        <v>4</v>
      </c>
      <c r="I1437" s="217">
        <f>SUM(I1434:I1436)</f>
        <v>878</v>
      </c>
      <c r="J1437" s="217">
        <f>SUM(J1434:J1436)</f>
        <v>2634</v>
      </c>
    </row>
    <row r="1439" spans="4:10">
      <c r="D1439" s="669" t="s">
        <v>0</v>
      </c>
      <c r="E1439" s="670"/>
      <c r="F1439" s="666" t="s">
        <v>184</v>
      </c>
      <c r="H1439" s="669" t="s">
        <v>0</v>
      </c>
      <c r="I1439" s="670"/>
      <c r="J1439" s="666" t="s">
        <v>184</v>
      </c>
    </row>
    <row r="1440" spans="4:10">
      <c r="D1440" s="356" t="s">
        <v>1</v>
      </c>
      <c r="E1440" s="2">
        <v>45965</v>
      </c>
      <c r="F1440" s="668"/>
      <c r="H1440" s="356" t="s">
        <v>1</v>
      </c>
      <c r="I1440" s="2">
        <v>45966</v>
      </c>
      <c r="J1440" s="668"/>
    </row>
    <row r="1441" spans="4:10">
      <c r="D1441" s="356" t="s">
        <v>2</v>
      </c>
      <c r="E1441" s="356" t="s">
        <v>3</v>
      </c>
      <c r="F1441" s="657"/>
      <c r="H1441" s="356" t="s">
        <v>2</v>
      </c>
      <c r="I1441" s="356" t="s">
        <v>3</v>
      </c>
      <c r="J1441" s="657"/>
    </row>
    <row r="1442" spans="4:10">
      <c r="D1442" s="5" t="s">
        <v>336</v>
      </c>
      <c r="E1442" s="3">
        <v>216</v>
      </c>
      <c r="F1442" s="5">
        <v>648</v>
      </c>
      <c r="H1442" s="5" t="s">
        <v>337</v>
      </c>
      <c r="I1442" s="3">
        <v>166</v>
      </c>
      <c r="J1442" s="5">
        <v>166</v>
      </c>
    </row>
    <row r="1443" spans="4:10">
      <c r="D1443" s="5" t="s">
        <v>5</v>
      </c>
      <c r="E1443" s="4">
        <v>504</v>
      </c>
      <c r="F1443" s="5">
        <v>1512</v>
      </c>
      <c r="H1443" s="5" t="s">
        <v>20</v>
      </c>
      <c r="I1443" s="4">
        <v>262</v>
      </c>
      <c r="J1443" s="5">
        <v>786</v>
      </c>
    </row>
    <row r="1444" spans="4:10">
      <c r="D1444" s="3"/>
      <c r="E1444" s="4"/>
      <c r="F1444" s="5"/>
      <c r="H1444" s="3"/>
      <c r="I1444" s="4"/>
      <c r="J1444" s="5"/>
    </row>
    <row r="1445" spans="4:10">
      <c r="D1445" s="217" t="s">
        <v>4</v>
      </c>
      <c r="E1445" s="217">
        <f>SUM(E1442:E1444)</f>
        <v>720</v>
      </c>
      <c r="F1445" s="217">
        <f>SUM(F1442:F1444)</f>
        <v>2160</v>
      </c>
      <c r="H1445" s="217" t="s">
        <v>4</v>
      </c>
      <c r="I1445" s="217">
        <f>SUM(I1442:I1444)</f>
        <v>428</v>
      </c>
      <c r="J1445" s="217">
        <f>SUM(J1442:J1444)</f>
        <v>952</v>
      </c>
    </row>
    <row r="1447" spans="4:10">
      <c r="D1447" s="669" t="s">
        <v>0</v>
      </c>
      <c r="E1447" s="670"/>
      <c r="F1447" s="666" t="s">
        <v>184</v>
      </c>
      <c r="H1447" s="669" t="s">
        <v>0</v>
      </c>
      <c r="I1447" s="670"/>
      <c r="J1447" s="666" t="s">
        <v>184</v>
      </c>
    </row>
    <row r="1448" spans="4:10">
      <c r="D1448" s="356" t="s">
        <v>1</v>
      </c>
      <c r="E1448" s="2">
        <v>45967</v>
      </c>
      <c r="F1448" s="668"/>
      <c r="H1448" s="356" t="s">
        <v>1</v>
      </c>
      <c r="I1448" s="2">
        <v>45968</v>
      </c>
      <c r="J1448" s="668"/>
    </row>
    <row r="1449" spans="4:10">
      <c r="D1449" s="356" t="s">
        <v>2</v>
      </c>
      <c r="E1449" s="356" t="s">
        <v>3</v>
      </c>
      <c r="F1449" s="657"/>
      <c r="H1449" s="356" t="s">
        <v>2</v>
      </c>
      <c r="I1449" s="356" t="s">
        <v>3</v>
      </c>
      <c r="J1449" s="657"/>
    </row>
    <row r="1450" spans="4:10">
      <c r="D1450" s="5" t="s">
        <v>338</v>
      </c>
      <c r="E1450" s="3">
        <v>48</v>
      </c>
      <c r="F1450" s="5">
        <v>48</v>
      </c>
      <c r="H1450" s="5" t="s">
        <v>337</v>
      </c>
      <c r="I1450" s="3">
        <v>59</v>
      </c>
      <c r="J1450" s="5">
        <v>59</v>
      </c>
    </row>
    <row r="1451" spans="4:10">
      <c r="D1451" s="5" t="s">
        <v>20</v>
      </c>
      <c r="E1451" s="4">
        <v>538</v>
      </c>
      <c r="F1451" s="5">
        <v>1614</v>
      </c>
      <c r="H1451" s="5" t="s">
        <v>254</v>
      </c>
      <c r="I1451" s="4">
        <v>330</v>
      </c>
      <c r="J1451" s="5">
        <v>990</v>
      </c>
    </row>
    <row r="1452" spans="4:10">
      <c r="D1452" s="3"/>
      <c r="E1452" s="4"/>
      <c r="F1452" s="5"/>
      <c r="H1452" s="3"/>
      <c r="I1452" s="4"/>
      <c r="J1452" s="5"/>
    </row>
    <row r="1453" spans="4:10">
      <c r="D1453" s="217" t="s">
        <v>4</v>
      </c>
      <c r="E1453" s="217">
        <f>SUM(E1450:E1452)</f>
        <v>586</v>
      </c>
      <c r="F1453" s="217">
        <f>SUM(F1450:F1452)</f>
        <v>1662</v>
      </c>
      <c r="H1453" s="217" t="s">
        <v>4</v>
      </c>
      <c r="I1453" s="217">
        <f>SUM(I1450:I1452)</f>
        <v>389</v>
      </c>
      <c r="J1453" s="217">
        <f>SUM(J1450:J1452)</f>
        <v>1049</v>
      </c>
    </row>
    <row r="1455" spans="4:10">
      <c r="D1455" s="669" t="s">
        <v>0</v>
      </c>
      <c r="E1455" s="670"/>
      <c r="F1455" s="666" t="s">
        <v>184</v>
      </c>
      <c r="H1455" s="669" t="s">
        <v>0</v>
      </c>
      <c r="I1455" s="670"/>
      <c r="J1455" s="666" t="s">
        <v>184</v>
      </c>
    </row>
    <row r="1456" spans="4:10">
      <c r="D1456" s="357" t="s">
        <v>1</v>
      </c>
      <c r="E1456" s="2">
        <v>45969</v>
      </c>
      <c r="F1456" s="668"/>
      <c r="H1456" s="357" t="s">
        <v>1</v>
      </c>
      <c r="I1456" s="2">
        <v>45971</v>
      </c>
      <c r="J1456" s="668"/>
    </row>
    <row r="1457" spans="4:10">
      <c r="D1457" s="357" t="s">
        <v>2</v>
      </c>
      <c r="E1457" s="357" t="s">
        <v>3</v>
      </c>
      <c r="F1457" s="657"/>
      <c r="H1457" s="357" t="s">
        <v>2</v>
      </c>
      <c r="I1457" s="357" t="s">
        <v>3</v>
      </c>
      <c r="J1457" s="657"/>
    </row>
    <row r="1458" spans="4:10">
      <c r="D1458" s="5" t="s">
        <v>228</v>
      </c>
      <c r="E1458" s="3">
        <v>470</v>
      </c>
      <c r="F1458" s="5">
        <v>1410</v>
      </c>
      <c r="H1458" s="5" t="s">
        <v>15</v>
      </c>
      <c r="I1458" s="3">
        <v>400</v>
      </c>
      <c r="J1458" s="5">
        <v>1200</v>
      </c>
    </row>
    <row r="1459" spans="4:10">
      <c r="D1459" s="5"/>
      <c r="E1459" s="4"/>
      <c r="F1459" s="5"/>
      <c r="H1459" s="5" t="s">
        <v>252</v>
      </c>
      <c r="I1459" s="4">
        <v>80</v>
      </c>
      <c r="J1459" s="5">
        <v>240</v>
      </c>
    </row>
    <row r="1460" spans="4:10">
      <c r="D1460" s="3"/>
      <c r="E1460" s="4"/>
      <c r="F1460" s="5"/>
      <c r="H1460" s="3"/>
      <c r="I1460" s="4"/>
      <c r="J1460" s="5"/>
    </row>
    <row r="1461" spans="4:10">
      <c r="D1461" s="217" t="s">
        <v>4</v>
      </c>
      <c r="E1461" s="217">
        <f>SUM(E1458:E1460)</f>
        <v>470</v>
      </c>
      <c r="F1461" s="217">
        <f>SUM(F1458:F1460)</f>
        <v>1410</v>
      </c>
      <c r="H1461" s="217" t="s">
        <v>4</v>
      </c>
      <c r="I1461" s="217">
        <f>SUM(I1458:I1460)</f>
        <v>480</v>
      </c>
      <c r="J1461" s="217">
        <f>SUM(J1458:J1460)</f>
        <v>1440</v>
      </c>
    </row>
    <row r="1463" spans="4:10">
      <c r="D1463" s="669" t="s">
        <v>0</v>
      </c>
      <c r="E1463" s="670"/>
      <c r="F1463" s="666" t="s">
        <v>184</v>
      </c>
      <c r="H1463" s="669" t="s">
        <v>0</v>
      </c>
      <c r="I1463" s="670"/>
      <c r="J1463" s="666" t="s">
        <v>184</v>
      </c>
    </row>
    <row r="1464" spans="4:10">
      <c r="D1464" s="357" t="s">
        <v>1</v>
      </c>
      <c r="E1464" s="2">
        <v>45972</v>
      </c>
      <c r="F1464" s="668"/>
      <c r="H1464" s="357" t="s">
        <v>1</v>
      </c>
      <c r="I1464" s="2">
        <v>45975</v>
      </c>
      <c r="J1464" s="668"/>
    </row>
    <row r="1465" spans="4:10">
      <c r="D1465" s="357" t="s">
        <v>2</v>
      </c>
      <c r="E1465" s="357" t="s">
        <v>3</v>
      </c>
      <c r="F1465" s="657"/>
      <c r="H1465" s="357" t="s">
        <v>2</v>
      </c>
      <c r="I1465" s="357" t="s">
        <v>3</v>
      </c>
      <c r="J1465" s="657"/>
    </row>
    <row r="1466" spans="4:10">
      <c r="D1466" s="5" t="s">
        <v>252</v>
      </c>
      <c r="E1466" s="3">
        <v>1000</v>
      </c>
      <c r="F1466" s="5">
        <v>3000</v>
      </c>
      <c r="H1466" s="5" t="s">
        <v>339</v>
      </c>
      <c r="I1466" s="3">
        <v>900</v>
      </c>
      <c r="J1466" s="5">
        <v>2700</v>
      </c>
    </row>
    <row r="1467" spans="4:10">
      <c r="D1467" s="5"/>
      <c r="E1467" s="4"/>
      <c r="F1467" s="5"/>
      <c r="H1467" s="5"/>
      <c r="I1467" s="4"/>
      <c r="J1467" s="5"/>
    </row>
    <row r="1468" spans="4:10">
      <c r="D1468" s="3"/>
      <c r="E1468" s="4"/>
      <c r="F1468" s="5"/>
      <c r="H1468" s="3"/>
      <c r="I1468" s="4"/>
      <c r="J1468" s="5"/>
    </row>
    <row r="1469" spans="4:10">
      <c r="D1469" s="217" t="s">
        <v>4</v>
      </c>
      <c r="E1469" s="217">
        <f>SUM(E1466:E1468)</f>
        <v>1000</v>
      </c>
      <c r="F1469" s="217">
        <f>SUM(F1466:F1468)</f>
        <v>3000</v>
      </c>
      <c r="H1469" s="217" t="s">
        <v>4</v>
      </c>
      <c r="I1469" s="217">
        <f>SUM(I1466:I1468)</f>
        <v>900</v>
      </c>
      <c r="J1469" s="217">
        <f>SUM(J1466:J1468)</f>
        <v>2700</v>
      </c>
    </row>
    <row r="1471" spans="4:10">
      <c r="D1471" s="669" t="s">
        <v>0</v>
      </c>
      <c r="E1471" s="670"/>
      <c r="F1471" s="666" t="s">
        <v>184</v>
      </c>
      <c r="H1471" s="669" t="s">
        <v>0</v>
      </c>
      <c r="I1471" s="670"/>
      <c r="J1471" s="666" t="s">
        <v>184</v>
      </c>
    </row>
    <row r="1472" spans="4:10">
      <c r="D1472" s="358" t="s">
        <v>1</v>
      </c>
      <c r="E1472" s="359">
        <v>45976</v>
      </c>
      <c r="F1472" s="668"/>
      <c r="H1472" s="358" t="s">
        <v>1</v>
      </c>
      <c r="I1472" s="359">
        <v>45978</v>
      </c>
      <c r="J1472" s="668"/>
    </row>
    <row r="1473" spans="4:10">
      <c r="D1473" s="358" t="s">
        <v>2</v>
      </c>
      <c r="E1473" s="358" t="s">
        <v>3</v>
      </c>
      <c r="F1473" s="657"/>
      <c r="H1473" s="358" t="s">
        <v>2</v>
      </c>
      <c r="I1473" s="358" t="s">
        <v>3</v>
      </c>
      <c r="J1473" s="657"/>
    </row>
    <row r="1474" spans="4:10">
      <c r="D1474" s="5" t="s">
        <v>339</v>
      </c>
      <c r="E1474" s="3">
        <v>300</v>
      </c>
      <c r="F1474" s="5">
        <v>900</v>
      </c>
      <c r="H1474" s="5"/>
      <c r="I1474" s="3"/>
      <c r="J1474" s="5"/>
    </row>
    <row r="1475" spans="4:10">
      <c r="D1475" s="5" t="s">
        <v>340</v>
      </c>
      <c r="E1475" s="4">
        <v>245</v>
      </c>
      <c r="F1475" s="5">
        <v>735</v>
      </c>
      <c r="H1475" s="5"/>
      <c r="I1475" s="4"/>
      <c r="J1475" s="5"/>
    </row>
    <row r="1476" spans="4:10">
      <c r="D1476" s="3"/>
      <c r="E1476" s="4"/>
      <c r="F1476" s="5"/>
      <c r="H1476" s="3"/>
      <c r="I1476" s="4"/>
      <c r="J1476" s="5"/>
    </row>
    <row r="1477" spans="4:10">
      <c r="D1477" s="217" t="s">
        <v>4</v>
      </c>
      <c r="E1477" s="217">
        <f>SUM(E1474:E1476)</f>
        <v>545</v>
      </c>
      <c r="F1477" s="217">
        <f>SUM(F1474:F1476)</f>
        <v>1635</v>
      </c>
      <c r="H1477" s="217" t="s">
        <v>4</v>
      </c>
      <c r="I1477" s="217">
        <f>SUM(I1474:I1476)</f>
        <v>0</v>
      </c>
      <c r="J1477" s="217">
        <f>SUM(J1474:J1476)</f>
        <v>0</v>
      </c>
    </row>
    <row r="1479" spans="4:10">
      <c r="D1479" s="669" t="s">
        <v>0</v>
      </c>
      <c r="E1479" s="670"/>
      <c r="F1479" s="666" t="s">
        <v>184</v>
      </c>
      <c r="H1479" s="669" t="s">
        <v>0</v>
      </c>
      <c r="I1479" s="670"/>
      <c r="J1479" s="666" t="s">
        <v>184</v>
      </c>
    </row>
    <row r="1480" spans="4:10">
      <c r="D1480" s="360" t="s">
        <v>1</v>
      </c>
      <c r="E1480" s="361">
        <v>45979</v>
      </c>
      <c r="F1480" s="668"/>
      <c r="H1480" s="362" t="s">
        <v>1</v>
      </c>
      <c r="I1480" s="363">
        <v>45980</v>
      </c>
      <c r="J1480" s="668"/>
    </row>
    <row r="1481" spans="4:10">
      <c r="D1481" s="360" t="s">
        <v>2</v>
      </c>
      <c r="E1481" s="360" t="s">
        <v>3</v>
      </c>
      <c r="F1481" s="657"/>
      <c r="H1481" s="362" t="s">
        <v>2</v>
      </c>
      <c r="I1481" s="362" t="s">
        <v>3</v>
      </c>
      <c r="J1481" s="657"/>
    </row>
    <row r="1482" spans="4:10">
      <c r="D1482" s="5" t="s">
        <v>341</v>
      </c>
      <c r="E1482" s="3">
        <v>350</v>
      </c>
      <c r="F1482" s="5">
        <v>1050</v>
      </c>
      <c r="H1482" s="5" t="s">
        <v>343</v>
      </c>
      <c r="I1482" s="3">
        <v>700</v>
      </c>
      <c r="J1482" s="5">
        <v>2100</v>
      </c>
    </row>
    <row r="1483" spans="4:10">
      <c r="D1483" s="5" t="s">
        <v>342</v>
      </c>
      <c r="E1483" s="4">
        <v>383</v>
      </c>
      <c r="F1483" s="5">
        <v>1149</v>
      </c>
      <c r="H1483" s="5"/>
      <c r="I1483" s="4"/>
      <c r="J1483" s="5"/>
    </row>
    <row r="1484" spans="4:10">
      <c r="D1484" s="3"/>
      <c r="E1484" s="4"/>
      <c r="F1484" s="5"/>
      <c r="H1484" s="3"/>
      <c r="I1484" s="4"/>
      <c r="J1484" s="5"/>
    </row>
    <row r="1485" spans="4:10">
      <c r="D1485" s="217" t="s">
        <v>4</v>
      </c>
      <c r="E1485" s="217">
        <f>SUM(E1482:E1484)</f>
        <v>733</v>
      </c>
      <c r="F1485" s="217">
        <f>SUM(F1482:F1484)</f>
        <v>2199</v>
      </c>
      <c r="H1485" s="217" t="s">
        <v>4</v>
      </c>
      <c r="I1485" s="217">
        <f>SUM(I1482:I1484)</f>
        <v>700</v>
      </c>
      <c r="J1485" s="217">
        <f>SUM(J1482:J1484)</f>
        <v>2100</v>
      </c>
    </row>
    <row r="1487" spans="4:10">
      <c r="D1487" s="669" t="s">
        <v>0</v>
      </c>
      <c r="E1487" s="670"/>
      <c r="F1487" s="666" t="s">
        <v>184</v>
      </c>
      <c r="H1487" s="669" t="s">
        <v>0</v>
      </c>
      <c r="I1487" s="670"/>
      <c r="J1487" s="666" t="s">
        <v>184</v>
      </c>
    </row>
    <row r="1488" spans="4:10">
      <c r="D1488" s="362" t="s">
        <v>1</v>
      </c>
      <c r="E1488" s="363">
        <v>45981</v>
      </c>
      <c r="F1488" s="668"/>
      <c r="H1488" s="362" t="s">
        <v>1</v>
      </c>
      <c r="I1488" s="363">
        <v>45982</v>
      </c>
      <c r="J1488" s="668"/>
    </row>
    <row r="1489" spans="4:10">
      <c r="D1489" s="362" t="s">
        <v>2</v>
      </c>
      <c r="E1489" s="362" t="s">
        <v>3</v>
      </c>
      <c r="F1489" s="657"/>
      <c r="H1489" s="362" t="s">
        <v>2</v>
      </c>
      <c r="I1489" s="362" t="s">
        <v>3</v>
      </c>
      <c r="J1489" s="657"/>
    </row>
    <row r="1490" spans="4:10">
      <c r="D1490" s="5" t="s">
        <v>344</v>
      </c>
      <c r="E1490" s="3">
        <v>700</v>
      </c>
      <c r="F1490" s="5">
        <v>2100</v>
      </c>
      <c r="H1490" s="5" t="s">
        <v>10</v>
      </c>
      <c r="I1490" s="3">
        <v>800</v>
      </c>
      <c r="J1490" s="5">
        <v>2400</v>
      </c>
    </row>
    <row r="1491" spans="4:10">
      <c r="D1491" s="5" t="s">
        <v>251</v>
      </c>
      <c r="E1491" s="4">
        <v>300</v>
      </c>
      <c r="F1491" s="5">
        <v>900</v>
      </c>
      <c r="H1491" s="5"/>
      <c r="I1491" s="4"/>
      <c r="J1491" s="5"/>
    </row>
    <row r="1492" spans="4:10">
      <c r="D1492" s="3"/>
      <c r="E1492" s="4"/>
      <c r="F1492" s="5"/>
      <c r="H1492" s="3"/>
      <c r="I1492" s="4"/>
      <c r="J1492" s="5"/>
    </row>
    <row r="1493" spans="4:10">
      <c r="D1493" s="217" t="s">
        <v>4</v>
      </c>
      <c r="E1493" s="217">
        <f>SUM(E1490:E1492)</f>
        <v>1000</v>
      </c>
      <c r="F1493" s="217">
        <f>SUM(F1490:F1492)</f>
        <v>3000</v>
      </c>
      <c r="H1493" s="217" t="s">
        <v>4</v>
      </c>
      <c r="I1493" s="217">
        <f>SUM(I1490:I1492)</f>
        <v>800</v>
      </c>
      <c r="J1493" s="217">
        <f>SUM(J1490:J1492)</f>
        <v>2400</v>
      </c>
    </row>
    <row r="1495" spans="4:10">
      <c r="D1495" s="669" t="s">
        <v>0</v>
      </c>
      <c r="E1495" s="670"/>
      <c r="F1495" s="666" t="s">
        <v>184</v>
      </c>
      <c r="H1495" s="669" t="s">
        <v>0</v>
      </c>
      <c r="I1495" s="670"/>
      <c r="J1495" s="666" t="s">
        <v>184</v>
      </c>
    </row>
    <row r="1496" spans="4:10">
      <c r="D1496" s="364" t="s">
        <v>1</v>
      </c>
      <c r="E1496" s="365">
        <v>45984</v>
      </c>
      <c r="F1496" s="668"/>
      <c r="H1496" s="364" t="s">
        <v>1</v>
      </c>
      <c r="I1496" s="365">
        <v>45985</v>
      </c>
      <c r="J1496" s="668"/>
    </row>
    <row r="1497" spans="4:10">
      <c r="D1497" s="364" t="s">
        <v>2</v>
      </c>
      <c r="E1497" s="364" t="s">
        <v>3</v>
      </c>
      <c r="F1497" s="657"/>
      <c r="H1497" s="364" t="s">
        <v>2</v>
      </c>
      <c r="I1497" s="364" t="s">
        <v>3</v>
      </c>
      <c r="J1497" s="657"/>
    </row>
    <row r="1498" spans="4:10">
      <c r="D1498" s="5" t="s">
        <v>246</v>
      </c>
      <c r="E1498" s="3">
        <v>631</v>
      </c>
      <c r="F1498" s="5">
        <v>3155</v>
      </c>
      <c r="H1498" s="5" t="s">
        <v>246</v>
      </c>
      <c r="I1498" s="3">
        <v>146</v>
      </c>
      <c r="J1498" s="5">
        <v>730</v>
      </c>
    </row>
    <row r="1499" spans="4:10">
      <c r="D1499" s="5"/>
      <c r="E1499" s="4"/>
      <c r="F1499" s="5"/>
      <c r="H1499" s="5" t="s">
        <v>131</v>
      </c>
      <c r="I1499" s="4">
        <v>817</v>
      </c>
      <c r="J1499" s="5">
        <v>4085</v>
      </c>
    </row>
    <row r="1500" spans="4:10">
      <c r="D1500" s="3"/>
      <c r="E1500" s="4"/>
      <c r="F1500" s="5"/>
      <c r="H1500" s="3" t="s">
        <v>345</v>
      </c>
      <c r="I1500" s="4">
        <v>291</v>
      </c>
      <c r="J1500" s="5">
        <v>873</v>
      </c>
    </row>
    <row r="1501" spans="4:10">
      <c r="D1501" s="217" t="s">
        <v>4</v>
      </c>
      <c r="E1501" s="217">
        <f>SUM(E1498:E1500)</f>
        <v>631</v>
      </c>
      <c r="F1501" s="217">
        <f>SUM(F1498:F1500)</f>
        <v>3155</v>
      </c>
      <c r="H1501" s="217" t="s">
        <v>4</v>
      </c>
      <c r="I1501" s="217">
        <f>SUM(I1498:I1500)</f>
        <v>1254</v>
      </c>
      <c r="J1501" s="217">
        <f>SUM(J1498:J1500)</f>
        <v>5688</v>
      </c>
    </row>
    <row r="1503" spans="4:10">
      <c r="D1503" s="669" t="s">
        <v>0</v>
      </c>
      <c r="E1503" s="670"/>
      <c r="F1503" s="666" t="s">
        <v>184</v>
      </c>
      <c r="H1503" s="669" t="s">
        <v>0</v>
      </c>
      <c r="I1503" s="670"/>
      <c r="J1503" s="666" t="s">
        <v>184</v>
      </c>
    </row>
    <row r="1504" spans="4:10">
      <c r="D1504" s="364" t="s">
        <v>1</v>
      </c>
      <c r="E1504" s="365">
        <v>45986</v>
      </c>
      <c r="F1504" s="668"/>
      <c r="H1504" s="364" t="s">
        <v>1</v>
      </c>
      <c r="I1504" s="365">
        <v>45987</v>
      </c>
      <c r="J1504" s="668"/>
    </row>
    <row r="1505" spans="4:10">
      <c r="D1505" s="364" t="s">
        <v>2</v>
      </c>
      <c r="E1505" s="364" t="s">
        <v>3</v>
      </c>
      <c r="F1505" s="657"/>
      <c r="H1505" s="364" t="s">
        <v>2</v>
      </c>
      <c r="I1505" s="364" t="s">
        <v>3</v>
      </c>
      <c r="J1505" s="657"/>
    </row>
    <row r="1506" spans="4:10">
      <c r="D1506" s="5" t="s">
        <v>345</v>
      </c>
      <c r="E1506" s="3">
        <v>600</v>
      </c>
      <c r="F1506" s="5">
        <v>900</v>
      </c>
      <c r="H1506" s="5" t="s">
        <v>346</v>
      </c>
      <c r="I1506" s="3">
        <v>432</v>
      </c>
      <c r="J1506" s="5">
        <v>2160</v>
      </c>
    </row>
    <row r="1507" spans="4:10">
      <c r="D1507" s="5"/>
      <c r="E1507" s="4"/>
      <c r="F1507" s="5"/>
      <c r="H1507" s="5" t="s">
        <v>254</v>
      </c>
      <c r="I1507" s="4">
        <v>800</v>
      </c>
      <c r="J1507" s="5">
        <v>2400</v>
      </c>
    </row>
    <row r="1508" spans="4:10">
      <c r="D1508" s="3"/>
      <c r="E1508" s="4"/>
      <c r="F1508" s="5"/>
      <c r="H1508" s="3"/>
      <c r="I1508" s="4"/>
      <c r="J1508" s="5"/>
    </row>
    <row r="1509" spans="4:10">
      <c r="D1509" s="217" t="s">
        <v>4</v>
      </c>
      <c r="E1509" s="217">
        <f>SUM(E1506:E1508)</f>
        <v>600</v>
      </c>
      <c r="F1509" s="217">
        <f>SUM(F1506:F1508)</f>
        <v>900</v>
      </c>
      <c r="H1509" s="217" t="s">
        <v>4</v>
      </c>
      <c r="I1509" s="217">
        <f>SUM(I1506:I1508)</f>
        <v>1232</v>
      </c>
      <c r="J1509" s="217">
        <f>SUM(J1506:J1508)</f>
        <v>4560</v>
      </c>
    </row>
    <row r="1511" spans="4:10">
      <c r="D1511" s="669" t="s">
        <v>0</v>
      </c>
      <c r="E1511" s="670"/>
      <c r="F1511" s="666" t="s">
        <v>184</v>
      </c>
      <c r="H1511" s="669" t="s">
        <v>0</v>
      </c>
      <c r="I1511" s="670"/>
      <c r="J1511" s="666" t="s">
        <v>184</v>
      </c>
    </row>
    <row r="1512" spans="4:10">
      <c r="D1512" s="364" t="s">
        <v>1</v>
      </c>
      <c r="E1512" s="365">
        <v>45988</v>
      </c>
      <c r="F1512" s="668"/>
      <c r="H1512" s="372" t="s">
        <v>1</v>
      </c>
      <c r="I1512" s="373">
        <v>45996</v>
      </c>
      <c r="J1512" s="668"/>
    </row>
    <row r="1513" spans="4:10">
      <c r="D1513" s="364" t="s">
        <v>2</v>
      </c>
      <c r="E1513" s="364" t="s">
        <v>3</v>
      </c>
      <c r="F1513" s="657"/>
      <c r="H1513" s="372" t="s">
        <v>2</v>
      </c>
      <c r="I1513" s="372" t="s">
        <v>3</v>
      </c>
      <c r="J1513" s="657"/>
    </row>
    <row r="1514" spans="4:10">
      <c r="D1514" s="5" t="s">
        <v>103</v>
      </c>
      <c r="E1514" s="3">
        <v>432</v>
      </c>
      <c r="F1514" s="5">
        <v>2160</v>
      </c>
      <c r="H1514" s="5" t="s">
        <v>350</v>
      </c>
      <c r="I1514" s="3">
        <v>770</v>
      </c>
      <c r="J1514" s="5">
        <v>2302</v>
      </c>
    </row>
    <row r="1515" spans="4:10">
      <c r="D1515" s="5" t="s">
        <v>254</v>
      </c>
      <c r="E1515" s="4"/>
      <c r="F1515" s="5"/>
      <c r="H1515" s="5" t="s">
        <v>351</v>
      </c>
      <c r="I1515" s="4">
        <v>312</v>
      </c>
      <c r="J1515" s="5">
        <v>936</v>
      </c>
    </row>
    <row r="1516" spans="4:10">
      <c r="D1516" s="3"/>
      <c r="E1516" s="4"/>
      <c r="F1516" s="5"/>
      <c r="H1516" s="3"/>
      <c r="I1516" s="4"/>
      <c r="J1516" s="5"/>
    </row>
    <row r="1517" spans="4:10">
      <c r="D1517" s="217" t="s">
        <v>4</v>
      </c>
      <c r="E1517" s="217">
        <f>SUM(E1514:E1516)</f>
        <v>432</v>
      </c>
      <c r="F1517" s="217">
        <f>SUM(F1514:F1516)</f>
        <v>2160</v>
      </c>
      <c r="H1517" s="217"/>
      <c r="I1517" s="217"/>
      <c r="J1517" s="217"/>
    </row>
    <row r="1519" spans="4:10">
      <c r="D1519" s="669" t="s">
        <v>0</v>
      </c>
      <c r="E1519" s="670"/>
      <c r="F1519" s="666" t="s">
        <v>184</v>
      </c>
      <c r="H1519" s="669" t="s">
        <v>0</v>
      </c>
      <c r="I1519" s="670"/>
      <c r="J1519" s="666" t="s">
        <v>184</v>
      </c>
    </row>
    <row r="1520" spans="4:10">
      <c r="D1520" s="374" t="s">
        <v>1</v>
      </c>
      <c r="E1520" s="375">
        <v>45997</v>
      </c>
      <c r="F1520" s="668"/>
      <c r="H1520" s="376" t="s">
        <v>1</v>
      </c>
      <c r="I1520" s="377">
        <v>46000</v>
      </c>
      <c r="J1520" s="668"/>
    </row>
    <row r="1521" spans="4:10">
      <c r="D1521" s="374" t="s">
        <v>2</v>
      </c>
      <c r="E1521" s="374" t="s">
        <v>3</v>
      </c>
      <c r="F1521" s="657"/>
      <c r="H1521" s="376" t="s">
        <v>2</v>
      </c>
      <c r="I1521" s="376" t="s">
        <v>3</v>
      </c>
      <c r="J1521" s="657"/>
    </row>
    <row r="1522" spans="4:10">
      <c r="D1522" s="5" t="s">
        <v>351</v>
      </c>
      <c r="E1522" s="3">
        <v>388</v>
      </c>
      <c r="F1522" s="5">
        <v>1164</v>
      </c>
      <c r="H1522" s="5" t="s">
        <v>5</v>
      </c>
      <c r="I1522" s="3">
        <v>719</v>
      </c>
      <c r="J1522" s="5">
        <v>2157</v>
      </c>
    </row>
    <row r="1523" spans="4:10">
      <c r="D1523" s="5" t="s">
        <v>352</v>
      </c>
      <c r="E1523" s="4">
        <v>359</v>
      </c>
      <c r="F1523" s="5">
        <v>1077</v>
      </c>
      <c r="H1523" s="5"/>
      <c r="I1523" s="4"/>
      <c r="J1523" s="5"/>
    </row>
    <row r="1524" spans="4:10">
      <c r="D1524" s="3"/>
      <c r="E1524" s="4"/>
      <c r="F1524" s="5"/>
      <c r="H1524" s="3"/>
      <c r="I1524" s="4"/>
      <c r="J1524" s="5"/>
    </row>
    <row r="1525" spans="4:10">
      <c r="D1525" s="217"/>
      <c r="E1525" s="217"/>
      <c r="F1525" s="217"/>
      <c r="H1525" s="217"/>
      <c r="I1525" s="217"/>
      <c r="J1525" s="217"/>
    </row>
    <row r="1527" spans="4:10">
      <c r="D1527" s="669" t="s">
        <v>0</v>
      </c>
      <c r="E1527" s="670"/>
      <c r="F1527" s="666" t="s">
        <v>184</v>
      </c>
      <c r="H1527" s="669" t="s">
        <v>0</v>
      </c>
      <c r="I1527" s="670"/>
      <c r="J1527" s="666" t="s">
        <v>184</v>
      </c>
    </row>
    <row r="1528" spans="4:10">
      <c r="D1528" s="376" t="s">
        <v>1</v>
      </c>
      <c r="E1528" s="377">
        <v>46001</v>
      </c>
      <c r="F1528" s="668"/>
      <c r="H1528" s="376" t="s">
        <v>1</v>
      </c>
      <c r="I1528" s="377">
        <v>46002</v>
      </c>
      <c r="J1528" s="668"/>
    </row>
    <row r="1529" spans="4:10">
      <c r="D1529" s="376" t="s">
        <v>2</v>
      </c>
      <c r="E1529" s="376" t="s">
        <v>3</v>
      </c>
      <c r="F1529" s="657"/>
      <c r="H1529" s="376" t="s">
        <v>2</v>
      </c>
      <c r="I1529" s="376" t="s">
        <v>3</v>
      </c>
      <c r="J1529" s="657"/>
    </row>
    <row r="1530" spans="4:10">
      <c r="D1530" s="5" t="s">
        <v>5</v>
      </c>
      <c r="E1530" s="3">
        <v>81</v>
      </c>
      <c r="F1530" s="5">
        <v>243</v>
      </c>
      <c r="H1530" s="5" t="s">
        <v>354</v>
      </c>
      <c r="I1530" s="3">
        <v>400</v>
      </c>
      <c r="J1530" s="5">
        <v>400</v>
      </c>
    </row>
    <row r="1531" spans="4:10">
      <c r="D1531" s="5" t="s">
        <v>353</v>
      </c>
      <c r="E1531" s="4">
        <v>400</v>
      </c>
      <c r="F1531" s="5">
        <v>400</v>
      </c>
      <c r="H1531" s="5" t="s">
        <v>355</v>
      </c>
      <c r="I1531" s="4">
        <v>400</v>
      </c>
      <c r="J1531" s="5">
        <v>400</v>
      </c>
    </row>
    <row r="1532" spans="4:10">
      <c r="D1532" s="3"/>
      <c r="E1532" s="4"/>
      <c r="F1532" s="5"/>
      <c r="H1532" s="3" t="s">
        <v>356</v>
      </c>
      <c r="I1532" s="4">
        <v>150</v>
      </c>
      <c r="J1532" s="5">
        <v>150</v>
      </c>
    </row>
    <row r="1533" spans="4:10">
      <c r="D1533" s="217"/>
      <c r="E1533" s="217"/>
      <c r="F1533" s="217"/>
      <c r="H1533" s="217"/>
      <c r="I1533" s="217"/>
      <c r="J1533" s="217"/>
    </row>
    <row r="1535" spans="4:10">
      <c r="D1535" s="669" t="s">
        <v>0</v>
      </c>
      <c r="E1535" s="670"/>
      <c r="F1535" s="666" t="s">
        <v>184</v>
      </c>
      <c r="H1535" s="669" t="s">
        <v>0</v>
      </c>
      <c r="I1535" s="670"/>
      <c r="J1535" s="666" t="s">
        <v>184</v>
      </c>
    </row>
    <row r="1536" spans="4:10">
      <c r="D1536" s="376" t="s">
        <v>1</v>
      </c>
      <c r="E1536" s="377">
        <v>46003</v>
      </c>
      <c r="F1536" s="668"/>
      <c r="H1536" s="376" t="s">
        <v>1</v>
      </c>
      <c r="I1536" s="377">
        <v>46004</v>
      </c>
      <c r="J1536" s="668"/>
    </row>
    <row r="1537" spans="4:10">
      <c r="D1537" s="376" t="s">
        <v>2</v>
      </c>
      <c r="E1537" s="376" t="s">
        <v>3</v>
      </c>
      <c r="F1537" s="657"/>
      <c r="H1537" s="376" t="s">
        <v>2</v>
      </c>
      <c r="I1537" s="376" t="s">
        <v>3</v>
      </c>
      <c r="J1537" s="657"/>
    </row>
    <row r="1538" spans="4:10">
      <c r="D1538" s="5" t="s">
        <v>356</v>
      </c>
      <c r="E1538" s="3">
        <v>180</v>
      </c>
      <c r="F1538" s="5">
        <v>180</v>
      </c>
      <c r="H1538" s="5" t="s">
        <v>357</v>
      </c>
      <c r="I1538" s="3">
        <v>1104</v>
      </c>
      <c r="J1538" s="5">
        <v>5520</v>
      </c>
    </row>
    <row r="1539" spans="4:10">
      <c r="D1539" s="5" t="s">
        <v>17</v>
      </c>
      <c r="E1539" s="4">
        <v>496</v>
      </c>
      <c r="F1539" s="5">
        <v>2480</v>
      </c>
      <c r="H1539" s="5" t="s">
        <v>358</v>
      </c>
      <c r="I1539" s="4">
        <v>231</v>
      </c>
      <c r="J1539" s="5">
        <v>1386</v>
      </c>
    </row>
    <row r="1540" spans="4:10">
      <c r="D1540" s="3"/>
      <c r="E1540" s="4"/>
      <c r="F1540" s="5"/>
      <c r="H1540" s="3"/>
      <c r="I1540" s="4"/>
      <c r="J1540" s="5"/>
    </row>
    <row r="1541" spans="4:10">
      <c r="D1541" s="217"/>
      <c r="E1541" s="217"/>
      <c r="F1541" s="217"/>
      <c r="H1541" s="217"/>
      <c r="I1541" s="217"/>
      <c r="J1541" s="217"/>
    </row>
    <row r="1543" spans="4:10">
      <c r="D1543" s="669" t="s">
        <v>0</v>
      </c>
      <c r="E1543" s="670"/>
      <c r="F1543" s="666" t="s">
        <v>184</v>
      </c>
      <c r="H1543" s="669" t="s">
        <v>0</v>
      </c>
      <c r="I1543" s="670"/>
      <c r="J1543" s="666" t="s">
        <v>184</v>
      </c>
    </row>
    <row r="1544" spans="4:10">
      <c r="D1544" s="376" t="s">
        <v>1</v>
      </c>
      <c r="E1544" s="377">
        <v>46006</v>
      </c>
      <c r="F1544" s="668"/>
      <c r="H1544" s="376" t="s">
        <v>1</v>
      </c>
      <c r="I1544" s="377">
        <v>46007</v>
      </c>
      <c r="J1544" s="668"/>
    </row>
    <row r="1545" spans="4:10">
      <c r="D1545" s="376" t="s">
        <v>2</v>
      </c>
      <c r="E1545" s="376" t="s">
        <v>3</v>
      </c>
      <c r="F1545" s="657"/>
      <c r="H1545" s="376" t="s">
        <v>2</v>
      </c>
      <c r="I1545" s="376" t="s">
        <v>3</v>
      </c>
      <c r="J1545" s="657"/>
    </row>
    <row r="1546" spans="4:10">
      <c r="D1546" s="5" t="s">
        <v>210</v>
      </c>
      <c r="E1546" s="3">
        <v>1102</v>
      </c>
      <c r="F1546" s="5">
        <v>6612</v>
      </c>
      <c r="H1546" s="5" t="s">
        <v>359</v>
      </c>
      <c r="I1546" s="3">
        <v>735</v>
      </c>
      <c r="J1546" s="5">
        <v>4410</v>
      </c>
    </row>
    <row r="1547" spans="4:10">
      <c r="D1547" s="5" t="s">
        <v>359</v>
      </c>
      <c r="E1547" s="4">
        <v>598</v>
      </c>
      <c r="F1547" s="5">
        <v>3588</v>
      </c>
      <c r="H1547" s="5" t="s">
        <v>205</v>
      </c>
      <c r="I1547" s="4">
        <v>1015</v>
      </c>
      <c r="J1547" s="5">
        <v>6090</v>
      </c>
    </row>
    <row r="1548" spans="4:10">
      <c r="D1548" s="3"/>
      <c r="E1548" s="4"/>
      <c r="F1548" s="5"/>
      <c r="H1548" s="3"/>
      <c r="I1548" s="4"/>
      <c r="J1548" s="5"/>
    </row>
    <row r="1549" spans="4:10">
      <c r="D1549" s="217"/>
      <c r="E1549" s="217"/>
      <c r="F1549" s="217"/>
      <c r="H1549" s="217"/>
      <c r="I1549" s="217"/>
      <c r="J1549" s="217"/>
    </row>
    <row r="1551" spans="4:10">
      <c r="D1551" s="669" t="s">
        <v>0</v>
      </c>
      <c r="E1551" s="670"/>
      <c r="F1551" s="666" t="s">
        <v>184</v>
      </c>
      <c r="H1551" s="669" t="s">
        <v>0</v>
      </c>
      <c r="I1551" s="670"/>
      <c r="J1551" s="666" t="s">
        <v>184</v>
      </c>
    </row>
    <row r="1552" spans="4:10">
      <c r="D1552" s="376" t="s">
        <v>1</v>
      </c>
      <c r="E1552" s="377">
        <v>46008</v>
      </c>
      <c r="F1552" s="668"/>
      <c r="H1552" s="378" t="s">
        <v>1</v>
      </c>
      <c r="I1552" s="379">
        <v>46011</v>
      </c>
      <c r="J1552" s="668"/>
    </row>
    <row r="1553" spans="4:10">
      <c r="D1553" s="376" t="s">
        <v>2</v>
      </c>
      <c r="E1553" s="376" t="s">
        <v>3</v>
      </c>
      <c r="F1553" s="657"/>
      <c r="H1553" s="378" t="s">
        <v>2</v>
      </c>
      <c r="I1553" s="378" t="s">
        <v>3</v>
      </c>
      <c r="J1553" s="657"/>
    </row>
    <row r="1554" spans="4:10">
      <c r="D1554" s="5" t="s">
        <v>252</v>
      </c>
      <c r="E1554" s="3">
        <v>400</v>
      </c>
      <c r="F1554" s="5">
        <v>1200</v>
      </c>
      <c r="H1554" s="5" t="s">
        <v>360</v>
      </c>
      <c r="I1554" s="3">
        <v>228</v>
      </c>
      <c r="J1554" s="5">
        <v>684</v>
      </c>
    </row>
    <row r="1555" spans="4:10">
      <c r="D1555" s="5" t="s">
        <v>251</v>
      </c>
      <c r="E1555" s="4">
        <v>220</v>
      </c>
      <c r="F1555" s="5">
        <v>660</v>
      </c>
      <c r="H1555" s="5" t="s">
        <v>17</v>
      </c>
      <c r="I1555" s="4">
        <v>446</v>
      </c>
      <c r="J1555" s="5">
        <v>2230</v>
      </c>
    </row>
    <row r="1556" spans="4:10">
      <c r="D1556" s="3"/>
      <c r="E1556" s="4"/>
      <c r="F1556" s="5"/>
      <c r="H1556" s="3"/>
      <c r="I1556" s="4"/>
      <c r="J1556" s="5"/>
    </row>
    <row r="1557" spans="4:10">
      <c r="D1557" s="217"/>
      <c r="E1557" s="217"/>
      <c r="F1557" s="217">
        <f>SUM(F1554:F1556)</f>
        <v>1860</v>
      </c>
      <c r="H1557" s="217" t="s">
        <v>4</v>
      </c>
      <c r="I1557" s="217">
        <v>674</v>
      </c>
      <c r="J1557" s="217">
        <v>2914</v>
      </c>
    </row>
    <row r="1559" spans="4:10">
      <c r="D1559" s="525"/>
      <c r="E1559" s="525"/>
      <c r="F1559" s="525"/>
      <c r="G1559" s="525"/>
      <c r="H1559" s="525"/>
      <c r="I1559" s="527"/>
      <c r="J1559" s="525"/>
    </row>
    <row r="1560" spans="4:10">
      <c r="D1560" s="525"/>
      <c r="E1560" s="526" t="s">
        <v>394</v>
      </c>
      <c r="F1560" s="525"/>
      <c r="G1560" s="525"/>
      <c r="H1560" s="526" t="s">
        <v>412</v>
      </c>
      <c r="I1560" s="525"/>
      <c r="J1560" s="525"/>
    </row>
    <row r="1563" spans="4:10">
      <c r="D1563" s="669" t="s">
        <v>0</v>
      </c>
      <c r="E1563" s="670"/>
      <c r="F1563" s="666" t="s">
        <v>184</v>
      </c>
      <c r="H1563" s="669" t="s">
        <v>0</v>
      </c>
      <c r="I1563" s="670"/>
      <c r="J1563" s="666" t="s">
        <v>184</v>
      </c>
    </row>
    <row r="1564" spans="4:10">
      <c r="D1564" s="391" t="s">
        <v>1</v>
      </c>
      <c r="E1564" s="392">
        <v>46035</v>
      </c>
      <c r="F1564" s="668"/>
      <c r="H1564" s="391" t="s">
        <v>1</v>
      </c>
      <c r="I1564" s="392">
        <v>46036</v>
      </c>
      <c r="J1564" s="668"/>
    </row>
    <row r="1565" spans="4:10">
      <c r="D1565" s="391" t="s">
        <v>2</v>
      </c>
      <c r="E1565" s="391" t="s">
        <v>3</v>
      </c>
      <c r="F1565" s="657"/>
      <c r="H1565" s="391" t="s">
        <v>2</v>
      </c>
      <c r="I1565" s="391" t="s">
        <v>3</v>
      </c>
      <c r="J1565" s="657"/>
    </row>
    <row r="1566" spans="4:10">
      <c r="D1566" s="5" t="s">
        <v>367</v>
      </c>
      <c r="E1566" s="3">
        <v>400</v>
      </c>
      <c r="F1566" s="5">
        <v>1200</v>
      </c>
      <c r="H1566" s="5" t="s">
        <v>368</v>
      </c>
      <c r="I1566" s="3">
        <v>400</v>
      </c>
      <c r="J1566" s="5">
        <v>1200</v>
      </c>
    </row>
    <row r="1567" spans="4:10">
      <c r="D1567" s="5"/>
      <c r="E1567" s="4"/>
      <c r="F1567" s="5"/>
      <c r="H1567" s="5" t="s">
        <v>172</v>
      </c>
      <c r="I1567" s="4">
        <v>115</v>
      </c>
      <c r="J1567" s="5">
        <v>345</v>
      </c>
    </row>
    <row r="1568" spans="4:10">
      <c r="D1568" s="3"/>
      <c r="E1568" s="4"/>
      <c r="F1568" s="5"/>
      <c r="H1568" s="3"/>
      <c r="I1568" s="4"/>
      <c r="J1568" s="5"/>
    </row>
    <row r="1569" spans="4:10">
      <c r="D1569" s="217" t="s">
        <v>4</v>
      </c>
      <c r="E1569" s="217">
        <v>400</v>
      </c>
      <c r="F1569" s="217">
        <v>1200</v>
      </c>
      <c r="H1569" s="217" t="s">
        <v>4</v>
      </c>
      <c r="I1569" s="217">
        <f>SUM(I1566:I1568)</f>
        <v>515</v>
      </c>
      <c r="J1569" s="217">
        <f>SUM(J1566:J1568)</f>
        <v>1545</v>
      </c>
    </row>
    <row r="1572" spans="4:10">
      <c r="D1572" s="669" t="s">
        <v>0</v>
      </c>
      <c r="E1572" s="670"/>
      <c r="F1572" s="666" t="s">
        <v>184</v>
      </c>
      <c r="H1572" s="669" t="s">
        <v>0</v>
      </c>
      <c r="I1572" s="670"/>
      <c r="J1572" s="666" t="s">
        <v>184</v>
      </c>
    </row>
    <row r="1573" spans="4:10">
      <c r="D1573" s="391" t="s">
        <v>1</v>
      </c>
      <c r="E1573" s="392">
        <v>46037</v>
      </c>
      <c r="F1573" s="668"/>
      <c r="H1573" s="391" t="s">
        <v>1</v>
      </c>
      <c r="I1573" s="392">
        <v>46038</v>
      </c>
      <c r="J1573" s="668"/>
    </row>
    <row r="1574" spans="4:10">
      <c r="D1574" s="391" t="s">
        <v>2</v>
      </c>
      <c r="E1574" s="391" t="s">
        <v>3</v>
      </c>
      <c r="F1574" s="657"/>
      <c r="H1574" s="391" t="s">
        <v>2</v>
      </c>
      <c r="I1574" s="391" t="s">
        <v>3</v>
      </c>
      <c r="J1574" s="657"/>
    </row>
    <row r="1575" spans="4:10">
      <c r="D1575" s="5"/>
      <c r="E1575" s="3"/>
      <c r="F1575" s="5"/>
      <c r="H1575" s="5" t="s">
        <v>370</v>
      </c>
      <c r="I1575" s="3">
        <v>400</v>
      </c>
      <c r="J1575" s="5">
        <v>1200</v>
      </c>
    </row>
    <row r="1576" spans="4:10">
      <c r="D1576" s="5" t="s">
        <v>172</v>
      </c>
      <c r="E1576" s="4">
        <v>285</v>
      </c>
      <c r="F1576" s="5">
        <v>855</v>
      </c>
      <c r="H1576" s="5" t="s">
        <v>371</v>
      </c>
      <c r="I1576" s="4">
        <v>400</v>
      </c>
      <c r="J1576" s="5">
        <v>1200</v>
      </c>
    </row>
    <row r="1577" spans="4:10">
      <c r="D1577" s="3" t="s">
        <v>369</v>
      </c>
      <c r="E1577" s="4">
        <v>400</v>
      </c>
      <c r="F1577" s="5">
        <v>1200</v>
      </c>
      <c r="H1577" s="3"/>
      <c r="I1577" s="4"/>
      <c r="J1577" s="5"/>
    </row>
    <row r="1578" spans="4:10">
      <c r="D1578" s="217" t="s">
        <v>4</v>
      </c>
      <c r="E1578" s="217">
        <f>SUM(E1576:E1577)</f>
        <v>685</v>
      </c>
      <c r="F1578" s="217">
        <f>SUM(F1576:F1577)</f>
        <v>2055</v>
      </c>
      <c r="H1578" s="217"/>
      <c r="I1578" s="217">
        <f>SUM(I1575:I1577)</f>
        <v>800</v>
      </c>
      <c r="J1578" s="217">
        <f>SUM(J1575:J1577)</f>
        <v>2400</v>
      </c>
    </row>
    <row r="1581" spans="4:10">
      <c r="D1581" s="669" t="s">
        <v>0</v>
      </c>
      <c r="E1581" s="670"/>
      <c r="F1581" s="666" t="s">
        <v>184</v>
      </c>
      <c r="H1581" s="669" t="s">
        <v>0</v>
      </c>
      <c r="I1581" s="670"/>
      <c r="J1581" s="666" t="s">
        <v>184</v>
      </c>
    </row>
    <row r="1582" spans="4:10">
      <c r="D1582" s="391" t="s">
        <v>1</v>
      </c>
      <c r="E1582" s="392">
        <v>46039</v>
      </c>
      <c r="F1582" s="668"/>
      <c r="H1582" s="391" t="s">
        <v>1</v>
      </c>
      <c r="I1582" s="392">
        <v>46042</v>
      </c>
      <c r="J1582" s="668"/>
    </row>
    <row r="1583" spans="4:10">
      <c r="D1583" s="391" t="s">
        <v>2</v>
      </c>
      <c r="E1583" s="391" t="s">
        <v>3</v>
      </c>
      <c r="F1583" s="657"/>
      <c r="H1583" s="391" t="s">
        <v>2</v>
      </c>
      <c r="I1583" s="391" t="s">
        <v>3</v>
      </c>
      <c r="J1583" s="657"/>
    </row>
    <row r="1584" spans="4:10">
      <c r="D1584" s="5" t="s">
        <v>361</v>
      </c>
      <c r="E1584" s="3">
        <v>350</v>
      </c>
      <c r="F1584" s="5">
        <v>1050</v>
      </c>
      <c r="H1584" s="5"/>
      <c r="I1584" s="3"/>
      <c r="J1584" s="5"/>
    </row>
    <row r="1585" spans="4:10">
      <c r="D1585" s="5" t="s">
        <v>372</v>
      </c>
      <c r="E1585" s="4">
        <v>172</v>
      </c>
      <c r="F1585" s="5">
        <v>516</v>
      </c>
      <c r="H1585" s="5" t="s">
        <v>372</v>
      </c>
      <c r="I1585" s="4">
        <v>228</v>
      </c>
      <c r="J1585" s="5">
        <v>684</v>
      </c>
    </row>
    <row r="1586" spans="4:10">
      <c r="D1586" s="3"/>
      <c r="E1586" s="4"/>
      <c r="F1586" s="5"/>
      <c r="H1586" s="3" t="s">
        <v>374</v>
      </c>
      <c r="I1586" s="4">
        <v>446</v>
      </c>
      <c r="J1586" s="5">
        <v>2230</v>
      </c>
    </row>
    <row r="1587" spans="4:10">
      <c r="D1587" s="217"/>
      <c r="E1587" s="217">
        <f>SUM(E1584:E1586)</f>
        <v>522</v>
      </c>
      <c r="F1587" s="217">
        <f>SUM(F1584:F1586)</f>
        <v>1566</v>
      </c>
      <c r="H1587" s="217"/>
      <c r="I1587" s="217">
        <f>SUM(I1584:I1586)</f>
        <v>674</v>
      </c>
      <c r="J1587" s="217">
        <f>SUM(J1584:J1586)</f>
        <v>2914</v>
      </c>
    </row>
    <row r="1590" spans="4:10" ht="15" customHeight="1">
      <c r="D1590" s="383" t="s">
        <v>0</v>
      </c>
      <c r="E1590" s="384"/>
      <c r="F1590" s="380" t="s">
        <v>184</v>
      </c>
      <c r="H1590" s="383" t="s">
        <v>0</v>
      </c>
      <c r="I1590" s="384"/>
      <c r="J1590" s="380" t="s">
        <v>184</v>
      </c>
    </row>
    <row r="1591" spans="4:10">
      <c r="D1591" s="385" t="s">
        <v>1</v>
      </c>
      <c r="E1591" s="386">
        <v>46043</v>
      </c>
      <c r="F1591" s="381"/>
      <c r="H1591" s="385" t="s">
        <v>1</v>
      </c>
      <c r="I1591" s="386">
        <v>46044</v>
      </c>
      <c r="J1591" s="381"/>
    </row>
    <row r="1592" spans="4:10">
      <c r="D1592" s="385" t="s">
        <v>2</v>
      </c>
      <c r="E1592" s="385" t="s">
        <v>3</v>
      </c>
      <c r="F1592" s="382"/>
      <c r="H1592" s="385" t="s">
        <v>2</v>
      </c>
      <c r="I1592" s="385" t="s">
        <v>3</v>
      </c>
      <c r="J1592" s="382"/>
    </row>
    <row r="1593" spans="4:10">
      <c r="D1593" s="5" t="s">
        <v>17</v>
      </c>
      <c r="E1593" s="3">
        <v>354</v>
      </c>
      <c r="F1593" s="5">
        <v>1770</v>
      </c>
      <c r="H1593" s="5" t="s">
        <v>361</v>
      </c>
      <c r="I1593" s="3">
        <v>320</v>
      </c>
      <c r="J1593" s="5">
        <v>960</v>
      </c>
    </row>
    <row r="1594" spans="4:10">
      <c r="D1594" s="5" t="s">
        <v>205</v>
      </c>
      <c r="E1594" s="4">
        <v>800</v>
      </c>
      <c r="F1594" s="5">
        <v>4000</v>
      </c>
      <c r="H1594" s="5" t="s">
        <v>362</v>
      </c>
      <c r="I1594" s="4">
        <v>321</v>
      </c>
      <c r="J1594" s="5">
        <v>963</v>
      </c>
    </row>
    <row r="1595" spans="4:10">
      <c r="D1595" s="3" t="s">
        <v>361</v>
      </c>
      <c r="E1595" s="4">
        <v>127</v>
      </c>
      <c r="F1595" s="5">
        <v>387</v>
      </c>
      <c r="H1595" s="3" t="s">
        <v>363</v>
      </c>
      <c r="I1595" s="4">
        <v>440</v>
      </c>
      <c r="J1595" s="5">
        <v>2640</v>
      </c>
    </row>
    <row r="1596" spans="4:10">
      <c r="D1596" s="217" t="s">
        <v>4</v>
      </c>
      <c r="E1596" s="217">
        <f>SUM(E1593:E1595)</f>
        <v>1281</v>
      </c>
      <c r="F1596" s="217">
        <f>SUM(F1593:F1595)</f>
        <v>6157</v>
      </c>
      <c r="H1596" s="217" t="s">
        <v>4</v>
      </c>
      <c r="I1596" s="217">
        <f>SUM(I1593:I1595)</f>
        <v>1081</v>
      </c>
      <c r="J1596" s="217">
        <f>SUM(J1593:J1595)</f>
        <v>4563</v>
      </c>
    </row>
    <row r="1599" spans="4:10" ht="30">
      <c r="D1599" s="478" t="s">
        <v>0</v>
      </c>
      <c r="E1599" s="384"/>
      <c r="F1599" s="380" t="s">
        <v>184</v>
      </c>
      <c r="H1599" s="478" t="s">
        <v>0</v>
      </c>
      <c r="I1599" s="387"/>
      <c r="J1599" s="388" t="s">
        <v>184</v>
      </c>
    </row>
    <row r="1600" spans="4:10">
      <c r="D1600" s="385" t="s">
        <v>1</v>
      </c>
      <c r="E1600" s="386">
        <v>46045</v>
      </c>
      <c r="F1600" s="381"/>
      <c r="H1600" s="391" t="s">
        <v>1</v>
      </c>
      <c r="I1600" s="392">
        <v>46046</v>
      </c>
      <c r="J1600" s="389"/>
    </row>
    <row r="1601" spans="4:10">
      <c r="D1601" s="385" t="s">
        <v>2</v>
      </c>
      <c r="E1601" s="385" t="s">
        <v>3</v>
      </c>
      <c r="F1601" s="382"/>
      <c r="H1601" s="391" t="s">
        <v>2</v>
      </c>
      <c r="I1601" s="391" t="s">
        <v>3</v>
      </c>
      <c r="J1601" s="390"/>
    </row>
    <row r="1602" spans="4:10">
      <c r="D1602" s="5" t="s">
        <v>364</v>
      </c>
      <c r="E1602" s="3">
        <v>213</v>
      </c>
      <c r="F1602" s="5">
        <v>1278</v>
      </c>
      <c r="H1602" s="5" t="s">
        <v>5</v>
      </c>
      <c r="I1602" s="3">
        <v>400</v>
      </c>
      <c r="J1602" s="5">
        <v>1200</v>
      </c>
    </row>
    <row r="1603" spans="4:10">
      <c r="D1603" s="5" t="s">
        <v>365</v>
      </c>
      <c r="E1603" s="4">
        <v>400</v>
      </c>
      <c r="F1603" s="5">
        <v>2000</v>
      </c>
      <c r="H1603" s="5" t="s">
        <v>373</v>
      </c>
      <c r="I1603" s="4">
        <v>329</v>
      </c>
      <c r="J1603" s="5">
        <v>987</v>
      </c>
    </row>
    <row r="1604" spans="4:10">
      <c r="D1604" s="3" t="s">
        <v>366</v>
      </c>
      <c r="E1604" s="4">
        <v>400</v>
      </c>
      <c r="F1604" s="5">
        <v>2000</v>
      </c>
      <c r="H1604" s="3"/>
      <c r="I1604" s="4"/>
      <c r="J1604" s="5"/>
    </row>
    <row r="1605" spans="4:10">
      <c r="D1605" s="217" t="s">
        <v>4</v>
      </c>
      <c r="E1605" s="217">
        <f>SUM(E1602:E1604)</f>
        <v>1013</v>
      </c>
      <c r="F1605" s="217">
        <f>SUM(F1602:F1604)</f>
        <v>5278</v>
      </c>
      <c r="H1605" s="217" t="s">
        <v>4</v>
      </c>
      <c r="I1605" s="217">
        <f>SUM(I1602:I1604)</f>
        <v>729</v>
      </c>
      <c r="J1605" s="217">
        <f>SUM(J1602:J1604)</f>
        <v>2187</v>
      </c>
    </row>
    <row r="1608" spans="4:10" ht="30">
      <c r="D1608" s="478" t="s">
        <v>0</v>
      </c>
      <c r="E1608" s="393"/>
      <c r="F1608" s="394" t="s">
        <v>184</v>
      </c>
      <c r="H1608" s="478" t="s">
        <v>0</v>
      </c>
      <c r="I1608" s="402"/>
      <c r="J1608" s="399" t="s">
        <v>184</v>
      </c>
    </row>
    <row r="1609" spans="4:10">
      <c r="D1609" s="397" t="s">
        <v>1</v>
      </c>
      <c r="E1609" s="398">
        <v>46049</v>
      </c>
      <c r="F1609" s="395"/>
      <c r="H1609" s="403" t="s">
        <v>1</v>
      </c>
      <c r="I1609" s="404">
        <v>46050</v>
      </c>
      <c r="J1609" s="400"/>
    </row>
    <row r="1610" spans="4:10">
      <c r="D1610" s="397" t="s">
        <v>2</v>
      </c>
      <c r="E1610" s="397" t="s">
        <v>3</v>
      </c>
      <c r="F1610" s="396"/>
      <c r="H1610" s="403" t="s">
        <v>2</v>
      </c>
      <c r="I1610" s="403" t="s">
        <v>3</v>
      </c>
      <c r="J1610" s="401"/>
    </row>
    <row r="1611" spans="4:10">
      <c r="D1611" s="5" t="s">
        <v>373</v>
      </c>
      <c r="E1611" s="3">
        <v>1326</v>
      </c>
      <c r="F1611" s="5">
        <v>3978</v>
      </c>
      <c r="H1611" s="5" t="s">
        <v>373</v>
      </c>
      <c r="I1611" s="3">
        <v>1091</v>
      </c>
      <c r="J1611" s="5">
        <v>3273</v>
      </c>
    </row>
    <row r="1612" spans="4:10">
      <c r="D1612" s="5"/>
      <c r="E1612" s="4"/>
      <c r="F1612" s="5"/>
      <c r="H1612" s="5"/>
      <c r="I1612" s="4"/>
      <c r="J1612" s="5"/>
    </row>
    <row r="1613" spans="4:10">
      <c r="D1613" s="3"/>
      <c r="E1613" s="4"/>
      <c r="F1613" s="5"/>
      <c r="H1613" s="3"/>
      <c r="I1613" s="4"/>
      <c r="J1613" s="5"/>
    </row>
    <row r="1614" spans="4:10">
      <c r="D1614" s="217" t="s">
        <v>4</v>
      </c>
      <c r="E1614" s="217">
        <f>SUM(E1611:E1613)</f>
        <v>1326</v>
      </c>
      <c r="F1614" s="217">
        <f>SUM(F1611:F1613)</f>
        <v>3978</v>
      </c>
      <c r="H1614" s="217" t="s">
        <v>4</v>
      </c>
      <c r="I1614" s="217">
        <f>SUM(I1611:I1613)</f>
        <v>1091</v>
      </c>
      <c r="J1614" s="217">
        <f>SUM(J1611:J1613)</f>
        <v>3273</v>
      </c>
    </row>
    <row r="1617" spans="4:10" ht="30">
      <c r="D1617" s="478" t="s">
        <v>0</v>
      </c>
      <c r="E1617" s="408"/>
      <c r="F1617" s="405" t="s">
        <v>184</v>
      </c>
      <c r="H1617" s="478" t="s">
        <v>0</v>
      </c>
      <c r="I1617" s="411"/>
      <c r="J1617" s="412" t="s">
        <v>184</v>
      </c>
    </row>
    <row r="1618" spans="4:10">
      <c r="D1618" s="409" t="s">
        <v>1</v>
      </c>
      <c r="E1618" s="410">
        <v>46051</v>
      </c>
      <c r="F1618" s="406"/>
      <c r="H1618" s="415" t="s">
        <v>1</v>
      </c>
      <c r="I1618" s="416">
        <v>46052</v>
      </c>
      <c r="J1618" s="413"/>
    </row>
    <row r="1619" spans="4:10">
      <c r="D1619" s="409" t="s">
        <v>2</v>
      </c>
      <c r="E1619" s="409" t="s">
        <v>3</v>
      </c>
      <c r="F1619" s="407"/>
      <c r="H1619" s="415" t="s">
        <v>2</v>
      </c>
      <c r="I1619" s="415" t="s">
        <v>3</v>
      </c>
      <c r="J1619" s="414"/>
    </row>
    <row r="1620" spans="4:10">
      <c r="D1620" s="5" t="s">
        <v>373</v>
      </c>
      <c r="E1620" s="3">
        <v>756</v>
      </c>
      <c r="F1620" s="5">
        <v>2268</v>
      </c>
      <c r="H1620" s="5" t="s">
        <v>370</v>
      </c>
      <c r="I1620" s="3">
        <v>265</v>
      </c>
      <c r="J1620" s="5">
        <v>795</v>
      </c>
    </row>
    <row r="1621" spans="4:10">
      <c r="D1621" s="5" t="s">
        <v>370</v>
      </c>
      <c r="E1621" s="4">
        <v>135</v>
      </c>
      <c r="F1621" s="5">
        <v>405</v>
      </c>
      <c r="H1621" s="5" t="s">
        <v>371</v>
      </c>
      <c r="I1621" s="4">
        <v>346</v>
      </c>
      <c r="J1621" s="5">
        <v>1038</v>
      </c>
    </row>
    <row r="1622" spans="4:10">
      <c r="D1622" s="3"/>
      <c r="E1622" s="4"/>
      <c r="F1622" s="5"/>
      <c r="H1622" s="3"/>
      <c r="I1622" s="4"/>
      <c r="J1622" s="5"/>
    </row>
    <row r="1623" spans="4:10">
      <c r="D1623" s="217" t="s">
        <v>4</v>
      </c>
      <c r="E1623" s="217">
        <f>SUM(E1620:E1622)</f>
        <v>891</v>
      </c>
      <c r="F1623" s="217">
        <f>SUM(F1620:F1622)</f>
        <v>2673</v>
      </c>
      <c r="H1623" s="217" t="s">
        <v>4</v>
      </c>
      <c r="I1623" s="217">
        <f>SUM(I1620:I1622)</f>
        <v>611</v>
      </c>
      <c r="J1623" s="217">
        <f>SUM(J1620:J1622)</f>
        <v>1833</v>
      </c>
    </row>
    <row r="1626" spans="4:10" ht="30">
      <c r="D1626" s="478" t="s">
        <v>0</v>
      </c>
      <c r="E1626" s="420"/>
      <c r="F1626" s="417" t="s">
        <v>184</v>
      </c>
      <c r="H1626" s="478" t="s">
        <v>0</v>
      </c>
      <c r="I1626" s="423"/>
      <c r="J1626" s="424" t="s">
        <v>184</v>
      </c>
    </row>
    <row r="1627" spans="4:10">
      <c r="D1627" s="421" t="s">
        <v>1</v>
      </c>
      <c r="E1627" s="422">
        <v>46053</v>
      </c>
      <c r="F1627" s="418"/>
      <c r="H1627" s="427" t="s">
        <v>1</v>
      </c>
      <c r="I1627" s="428">
        <v>46056</v>
      </c>
      <c r="J1627" s="425"/>
    </row>
    <row r="1628" spans="4:10">
      <c r="D1628" s="421" t="s">
        <v>2</v>
      </c>
      <c r="E1628" s="421" t="s">
        <v>3</v>
      </c>
      <c r="F1628" s="419"/>
      <c r="H1628" s="427" t="s">
        <v>2</v>
      </c>
      <c r="I1628" s="427" t="s">
        <v>3</v>
      </c>
      <c r="J1628" s="426"/>
    </row>
    <row r="1629" spans="4:10">
      <c r="D1629" s="5" t="s">
        <v>371</v>
      </c>
      <c r="E1629" s="3">
        <v>454</v>
      </c>
      <c r="F1629" s="5">
        <v>1362</v>
      </c>
      <c r="H1629" s="5" t="s">
        <v>371</v>
      </c>
      <c r="I1629" s="3">
        <v>454</v>
      </c>
      <c r="J1629" s="5">
        <v>1362</v>
      </c>
    </row>
    <row r="1630" spans="4:10">
      <c r="D1630" s="5"/>
      <c r="E1630" s="4"/>
      <c r="F1630" s="5"/>
      <c r="H1630" s="5"/>
      <c r="I1630" s="4"/>
      <c r="J1630" s="5"/>
    </row>
    <row r="1631" spans="4:10">
      <c r="D1631" s="3"/>
      <c r="E1631" s="4"/>
      <c r="F1631" s="5"/>
      <c r="H1631" s="3"/>
      <c r="I1631" s="4"/>
      <c r="J1631" s="5"/>
    </row>
    <row r="1632" spans="4:10">
      <c r="D1632" s="217" t="s">
        <v>4</v>
      </c>
      <c r="E1632" s="217">
        <f>SUM(E1629:E1631)</f>
        <v>454</v>
      </c>
      <c r="F1632" s="217">
        <f>SUM(F1629:F1631)</f>
        <v>1362</v>
      </c>
      <c r="H1632" s="217" t="s">
        <v>4</v>
      </c>
      <c r="I1632" s="217">
        <f>SUM(I1629:I1631)</f>
        <v>454</v>
      </c>
      <c r="J1632" s="217">
        <f>SUM(J1629:J1631)</f>
        <v>1362</v>
      </c>
    </row>
    <row r="1635" spans="4:10" ht="30">
      <c r="D1635" s="478" t="s">
        <v>0</v>
      </c>
      <c r="E1635" s="432"/>
      <c r="F1635" s="429" t="s">
        <v>184</v>
      </c>
      <c r="H1635" s="478" t="s">
        <v>0</v>
      </c>
      <c r="I1635" s="435"/>
      <c r="J1635" s="436" t="s">
        <v>184</v>
      </c>
    </row>
    <row r="1636" spans="4:10">
      <c r="D1636" s="433" t="s">
        <v>1</v>
      </c>
      <c r="E1636" s="434">
        <v>46058</v>
      </c>
      <c r="F1636" s="430"/>
      <c r="H1636" s="439" t="s">
        <v>1</v>
      </c>
      <c r="I1636" s="440">
        <v>46059</v>
      </c>
      <c r="J1636" s="437"/>
    </row>
    <row r="1637" spans="4:10">
      <c r="D1637" s="433" t="s">
        <v>2</v>
      </c>
      <c r="E1637" s="433" t="s">
        <v>3</v>
      </c>
      <c r="F1637" s="431"/>
      <c r="H1637" s="439" t="s">
        <v>2</v>
      </c>
      <c r="I1637" s="439" t="s">
        <v>3</v>
      </c>
      <c r="J1637" s="438"/>
    </row>
    <row r="1638" spans="4:10">
      <c r="D1638" s="5" t="s">
        <v>370</v>
      </c>
      <c r="E1638" s="3">
        <v>400</v>
      </c>
      <c r="F1638" s="5">
        <v>1200</v>
      </c>
      <c r="H1638" s="5" t="s">
        <v>375</v>
      </c>
      <c r="I1638" s="3">
        <v>435</v>
      </c>
      <c r="J1638" s="5">
        <v>1305</v>
      </c>
    </row>
    <row r="1639" spans="4:10">
      <c r="D1639" s="5" t="s">
        <v>376</v>
      </c>
      <c r="E1639" s="4">
        <v>130</v>
      </c>
      <c r="F1639" s="5">
        <v>390</v>
      </c>
      <c r="H1639" s="5"/>
      <c r="I1639" s="4"/>
      <c r="J1639" s="5"/>
    </row>
    <row r="1640" spans="4:10">
      <c r="D1640" s="3"/>
      <c r="E1640" s="4"/>
      <c r="F1640" s="5"/>
      <c r="H1640" s="3"/>
      <c r="I1640" s="4"/>
      <c r="J1640" s="5"/>
    </row>
    <row r="1641" spans="4:10">
      <c r="D1641" s="217" t="s">
        <v>4</v>
      </c>
      <c r="E1641" s="217">
        <f>SUM(E1638:E1640)</f>
        <v>530</v>
      </c>
      <c r="F1641" s="217">
        <f>SUM(F1638:F1640)</f>
        <v>1590</v>
      </c>
      <c r="H1641" s="217" t="s">
        <v>4</v>
      </c>
      <c r="I1641" s="217">
        <f>SUM(I1638:I1640)</f>
        <v>435</v>
      </c>
      <c r="J1641" s="217">
        <f>SUM(J1638:J1640)</f>
        <v>1305</v>
      </c>
    </row>
    <row r="1644" spans="4:10" ht="30">
      <c r="D1644" s="478" t="s">
        <v>0</v>
      </c>
      <c r="E1644" s="444"/>
      <c r="F1644" s="441" t="s">
        <v>184</v>
      </c>
      <c r="H1644" s="478" t="s">
        <v>0</v>
      </c>
      <c r="I1644" s="447"/>
      <c r="J1644" s="448" t="s">
        <v>184</v>
      </c>
    </row>
    <row r="1645" spans="4:10">
      <c r="D1645" s="445" t="s">
        <v>1</v>
      </c>
      <c r="E1645" s="446">
        <v>46060</v>
      </c>
      <c r="F1645" s="442"/>
      <c r="H1645" s="451" t="s">
        <v>1</v>
      </c>
      <c r="I1645" s="452">
        <v>46063</v>
      </c>
      <c r="J1645" s="449"/>
    </row>
    <row r="1646" spans="4:10">
      <c r="D1646" s="445" t="s">
        <v>2</v>
      </c>
      <c r="E1646" s="445" t="s">
        <v>3</v>
      </c>
      <c r="F1646" s="443"/>
      <c r="H1646" s="451" t="s">
        <v>2</v>
      </c>
      <c r="I1646" s="451" t="s">
        <v>3</v>
      </c>
      <c r="J1646" s="450"/>
    </row>
    <row r="1647" spans="4:10">
      <c r="D1647" s="5" t="s">
        <v>376</v>
      </c>
      <c r="E1647" s="3">
        <v>235</v>
      </c>
      <c r="F1647" s="5">
        <v>705</v>
      </c>
      <c r="H1647" s="5" t="s">
        <v>377</v>
      </c>
      <c r="I1647" s="3">
        <v>500</v>
      </c>
      <c r="J1647" s="5">
        <v>1500</v>
      </c>
    </row>
    <row r="1648" spans="4:10">
      <c r="D1648" s="5" t="s">
        <v>377</v>
      </c>
      <c r="E1648" s="4">
        <v>300</v>
      </c>
      <c r="F1648" s="5">
        <v>900</v>
      </c>
      <c r="H1648" s="5" t="s">
        <v>378</v>
      </c>
      <c r="I1648" s="4">
        <v>248</v>
      </c>
      <c r="J1648" s="5">
        <v>744</v>
      </c>
    </row>
    <row r="1649" spans="4:10">
      <c r="D1649" s="3"/>
      <c r="E1649" s="4"/>
      <c r="F1649" s="5"/>
      <c r="H1649" s="3"/>
      <c r="I1649" s="4"/>
      <c r="J1649" s="5"/>
    </row>
    <row r="1650" spans="4:10">
      <c r="D1650" s="217" t="s">
        <v>4</v>
      </c>
      <c r="E1650" s="217">
        <f>SUM(E1647:E1649)</f>
        <v>535</v>
      </c>
      <c r="F1650" s="217">
        <f>SUM(F1647:F1649)</f>
        <v>1605</v>
      </c>
      <c r="H1650" s="217" t="s">
        <v>4</v>
      </c>
      <c r="I1650" s="217">
        <f>SUM(I1647:I1649)</f>
        <v>748</v>
      </c>
      <c r="J1650" s="217">
        <f>SUM(J1647:J1649)</f>
        <v>2244</v>
      </c>
    </row>
    <row r="1653" spans="4:10" ht="30">
      <c r="D1653" s="478" t="s">
        <v>0</v>
      </c>
      <c r="E1653" s="456"/>
      <c r="F1653" s="453" t="s">
        <v>184</v>
      </c>
      <c r="H1653" s="478" t="s">
        <v>0</v>
      </c>
      <c r="I1653" s="458"/>
      <c r="J1653" s="459" t="s">
        <v>184</v>
      </c>
    </row>
    <row r="1654" spans="4:10">
      <c r="D1654" s="457" t="s">
        <v>1</v>
      </c>
      <c r="E1654" s="223">
        <v>46064</v>
      </c>
      <c r="F1654" s="454"/>
      <c r="H1654" s="462" t="s">
        <v>1</v>
      </c>
      <c r="I1654" s="223">
        <v>46065</v>
      </c>
      <c r="J1654" s="460"/>
    </row>
    <row r="1655" spans="4:10">
      <c r="D1655" s="457" t="s">
        <v>2</v>
      </c>
      <c r="E1655" s="457" t="s">
        <v>3</v>
      </c>
      <c r="F1655" s="455"/>
      <c r="H1655" s="462" t="s">
        <v>2</v>
      </c>
      <c r="I1655" s="462" t="s">
        <v>3</v>
      </c>
      <c r="J1655" s="461"/>
    </row>
    <row r="1656" spans="4:10">
      <c r="D1656" s="5" t="s">
        <v>378</v>
      </c>
      <c r="E1656" s="3">
        <v>552</v>
      </c>
      <c r="F1656" s="5">
        <v>1656</v>
      </c>
      <c r="H1656" s="5" t="s">
        <v>324</v>
      </c>
      <c r="I1656" s="3">
        <v>800</v>
      </c>
      <c r="J1656" s="5">
        <v>4000</v>
      </c>
    </row>
    <row r="1657" spans="4:10">
      <c r="D1657" s="5" t="s">
        <v>379</v>
      </c>
      <c r="E1657" s="4">
        <v>243</v>
      </c>
      <c r="F1657" s="5">
        <v>729</v>
      </c>
      <c r="H1657" s="5" t="s">
        <v>366</v>
      </c>
      <c r="I1657" s="4">
        <v>727</v>
      </c>
      <c r="J1657" s="5">
        <v>3635</v>
      </c>
    </row>
    <row r="1658" spans="4:10">
      <c r="D1658" s="3"/>
      <c r="E1658" s="4"/>
      <c r="F1658" s="5"/>
      <c r="H1658" s="3"/>
      <c r="I1658" s="4"/>
      <c r="J1658" s="5"/>
    </row>
    <row r="1659" spans="4:10">
      <c r="D1659" s="217" t="s">
        <v>4</v>
      </c>
      <c r="E1659" s="217">
        <f>SUM(E1656:E1658)</f>
        <v>795</v>
      </c>
      <c r="F1659" s="217">
        <f>SUM(F1656:F1658)</f>
        <v>2385</v>
      </c>
      <c r="H1659" s="217" t="s">
        <v>4</v>
      </c>
      <c r="I1659" s="217">
        <f>SUM(I1656:I1658)</f>
        <v>1527</v>
      </c>
      <c r="J1659" s="217">
        <f>SUM(J1656:J1658)</f>
        <v>7635</v>
      </c>
    </row>
    <row r="1662" spans="4:10" ht="30">
      <c r="D1662" s="478" t="s">
        <v>0</v>
      </c>
      <c r="E1662" s="458"/>
      <c r="F1662" s="459" t="s">
        <v>184</v>
      </c>
      <c r="H1662" s="478" t="s">
        <v>0</v>
      </c>
      <c r="I1662" s="466"/>
      <c r="J1662" s="463" t="s">
        <v>184</v>
      </c>
    </row>
    <row r="1663" spans="4:10">
      <c r="D1663" s="462" t="s">
        <v>1</v>
      </c>
      <c r="E1663" s="223">
        <v>46066</v>
      </c>
      <c r="F1663" s="460"/>
      <c r="H1663" s="467" t="s">
        <v>1</v>
      </c>
      <c r="I1663" s="223">
        <v>46070</v>
      </c>
      <c r="J1663" s="464"/>
    </row>
    <row r="1664" spans="4:10">
      <c r="D1664" s="462" t="s">
        <v>2</v>
      </c>
      <c r="E1664" s="462" t="s">
        <v>3</v>
      </c>
      <c r="F1664" s="461"/>
      <c r="H1664" s="467" t="s">
        <v>2</v>
      </c>
      <c r="I1664" s="467" t="s">
        <v>3</v>
      </c>
      <c r="J1664" s="465"/>
    </row>
    <row r="1665" spans="4:10">
      <c r="D1665" s="5" t="s">
        <v>380</v>
      </c>
      <c r="E1665" s="3">
        <v>800</v>
      </c>
      <c r="F1665" s="5">
        <v>4000</v>
      </c>
      <c r="H1665" s="5" t="s">
        <v>226</v>
      </c>
      <c r="I1665" s="3">
        <v>636</v>
      </c>
      <c r="J1665" s="5">
        <v>3180</v>
      </c>
    </row>
    <row r="1666" spans="4:10">
      <c r="D1666" s="5" t="s">
        <v>226</v>
      </c>
      <c r="E1666" s="4">
        <v>24</v>
      </c>
      <c r="F1666" s="5">
        <v>120</v>
      </c>
      <c r="H1666" s="5" t="s">
        <v>379</v>
      </c>
      <c r="I1666" s="4">
        <v>4</v>
      </c>
      <c r="J1666" s="5">
        <v>798</v>
      </c>
    </row>
    <row r="1667" spans="4:10">
      <c r="D1667" s="3"/>
      <c r="E1667" s="4"/>
      <c r="F1667" s="5"/>
      <c r="H1667" s="3"/>
      <c r="I1667" s="4"/>
      <c r="J1667" s="5"/>
    </row>
    <row r="1668" spans="4:10">
      <c r="D1668" s="217" t="s">
        <v>4</v>
      </c>
      <c r="E1668" s="217">
        <f>SUM(E1665:E1667)</f>
        <v>824</v>
      </c>
      <c r="F1668" s="217">
        <f>SUM(F1665:F1667)</f>
        <v>4120</v>
      </c>
      <c r="H1668" s="217" t="s">
        <v>4</v>
      </c>
      <c r="I1668" s="217">
        <v>640</v>
      </c>
      <c r="J1668" s="217"/>
    </row>
    <row r="1671" spans="4:10" ht="30">
      <c r="D1671" s="478" t="s">
        <v>0</v>
      </c>
      <c r="E1671" s="468"/>
      <c r="F1671" s="469" t="s">
        <v>184</v>
      </c>
      <c r="H1671" s="478" t="s">
        <v>0</v>
      </c>
      <c r="I1671" s="476"/>
      <c r="J1671" s="473" t="s">
        <v>184</v>
      </c>
    </row>
    <row r="1672" spans="4:10">
      <c r="D1672" s="472" t="s">
        <v>1</v>
      </c>
      <c r="E1672" s="223">
        <v>46071</v>
      </c>
      <c r="F1672" s="470"/>
      <c r="H1672" s="477" t="s">
        <v>1</v>
      </c>
      <c r="I1672" s="223">
        <v>46072</v>
      </c>
      <c r="J1672" s="474"/>
    </row>
    <row r="1673" spans="4:10">
      <c r="D1673" s="472" t="s">
        <v>2</v>
      </c>
      <c r="E1673" s="472" t="s">
        <v>3</v>
      </c>
      <c r="F1673" s="471"/>
      <c r="H1673" s="477" t="s">
        <v>2</v>
      </c>
      <c r="I1673" s="477" t="s">
        <v>3</v>
      </c>
      <c r="J1673" s="475"/>
    </row>
    <row r="1674" spans="4:10">
      <c r="D1674" s="5" t="s">
        <v>379</v>
      </c>
      <c r="E1674" s="3">
        <v>557</v>
      </c>
      <c r="F1674" s="5">
        <v>1671</v>
      </c>
      <c r="H1674" s="5" t="s">
        <v>381</v>
      </c>
      <c r="I1674" s="3">
        <v>108</v>
      </c>
      <c r="J1674" s="5">
        <v>324</v>
      </c>
    </row>
    <row r="1675" spans="4:10">
      <c r="D1675" s="5" t="s">
        <v>381</v>
      </c>
      <c r="E1675" s="4">
        <v>292</v>
      </c>
      <c r="F1675" s="5">
        <v>876</v>
      </c>
      <c r="H1675" s="5" t="s">
        <v>382</v>
      </c>
      <c r="I1675" s="4">
        <v>400</v>
      </c>
      <c r="J1675" s="5">
        <v>1200</v>
      </c>
    </row>
    <row r="1676" spans="4:10">
      <c r="D1676" s="3"/>
      <c r="E1676" s="4"/>
      <c r="F1676" s="5"/>
      <c r="H1676" s="3"/>
      <c r="I1676" s="4"/>
      <c r="J1676" s="5"/>
    </row>
    <row r="1677" spans="4:10">
      <c r="D1677" s="217" t="s">
        <v>4</v>
      </c>
      <c r="E1677" s="217">
        <v>849</v>
      </c>
      <c r="F1677" s="217">
        <f>SUM(F1674:F1676)</f>
        <v>2547</v>
      </c>
      <c r="H1677" s="217" t="s">
        <v>4</v>
      </c>
      <c r="I1677" s="217">
        <v>508</v>
      </c>
      <c r="J1677" s="217">
        <f>SUM(J1674:J1676)</f>
        <v>1524</v>
      </c>
    </row>
    <row r="1680" spans="4:10" ht="30">
      <c r="D1680" s="478" t="s">
        <v>0</v>
      </c>
      <c r="E1680" s="479"/>
      <c r="F1680" s="480" t="s">
        <v>184</v>
      </c>
      <c r="H1680" s="478" t="s">
        <v>0</v>
      </c>
      <c r="I1680" s="487"/>
      <c r="J1680" s="484" t="s">
        <v>184</v>
      </c>
    </row>
    <row r="1681" spans="4:10">
      <c r="D1681" s="483" t="s">
        <v>1</v>
      </c>
      <c r="E1681" s="223">
        <v>46073</v>
      </c>
      <c r="F1681" s="481"/>
      <c r="H1681" s="488" t="s">
        <v>1</v>
      </c>
      <c r="I1681" s="223">
        <v>46074</v>
      </c>
      <c r="J1681" s="485"/>
    </row>
    <row r="1682" spans="4:10">
      <c r="D1682" s="483" t="s">
        <v>2</v>
      </c>
      <c r="E1682" s="483" t="s">
        <v>3</v>
      </c>
      <c r="F1682" s="482"/>
      <c r="H1682" s="488" t="s">
        <v>2</v>
      </c>
      <c r="I1682" s="488" t="s">
        <v>3</v>
      </c>
      <c r="J1682" s="486"/>
    </row>
    <row r="1683" spans="4:10">
      <c r="D1683" s="5" t="s">
        <v>252</v>
      </c>
      <c r="E1683" s="3">
        <v>400</v>
      </c>
      <c r="F1683" s="5">
        <v>1200</v>
      </c>
      <c r="H1683" s="5" t="s">
        <v>352</v>
      </c>
      <c r="I1683" s="3">
        <v>134</v>
      </c>
      <c r="J1683" s="5">
        <v>402</v>
      </c>
    </row>
    <row r="1684" spans="4:10">
      <c r="D1684" s="5" t="s">
        <v>251</v>
      </c>
      <c r="E1684" s="4">
        <v>400</v>
      </c>
      <c r="F1684" s="5">
        <v>1200</v>
      </c>
      <c r="H1684" s="5" t="s">
        <v>375</v>
      </c>
      <c r="I1684" s="4">
        <v>266</v>
      </c>
      <c r="J1684" s="5">
        <f>J1666</f>
        <v>798</v>
      </c>
    </row>
    <row r="1685" spans="4:10">
      <c r="D1685" s="3"/>
      <c r="E1685" s="4"/>
      <c r="F1685" s="5"/>
      <c r="H1685" s="3" t="s">
        <v>386</v>
      </c>
      <c r="I1685" s="4">
        <v>167</v>
      </c>
      <c r="J1685" s="5">
        <v>501</v>
      </c>
    </row>
    <row r="1686" spans="4:10">
      <c r="D1686" s="217" t="s">
        <v>4</v>
      </c>
      <c r="E1686" s="217">
        <f>SUM(E1683:E1685)</f>
        <v>800</v>
      </c>
      <c r="F1686" s="217">
        <f>SUM(F1683:F1685)</f>
        <v>2400</v>
      </c>
      <c r="H1686" s="217" t="s">
        <v>4</v>
      </c>
      <c r="I1686" s="217">
        <f>SUM(I1683:I1685)</f>
        <v>567</v>
      </c>
      <c r="J1686" s="217">
        <f>SUM(J1683:J1685)</f>
        <v>1701</v>
      </c>
    </row>
    <row r="1689" spans="4:10" ht="30">
      <c r="D1689" s="478" t="s">
        <v>0</v>
      </c>
      <c r="E1689" s="487"/>
      <c r="F1689" s="484" t="s">
        <v>184</v>
      </c>
      <c r="H1689" s="478" t="s">
        <v>0</v>
      </c>
      <c r="I1689" s="489"/>
      <c r="J1689" s="490" t="s">
        <v>184</v>
      </c>
    </row>
    <row r="1690" spans="4:10">
      <c r="D1690" s="488" t="s">
        <v>1</v>
      </c>
      <c r="E1690" s="223">
        <v>46077</v>
      </c>
      <c r="F1690" s="485"/>
      <c r="H1690" s="493" t="s">
        <v>1</v>
      </c>
      <c r="I1690" s="223">
        <v>46078</v>
      </c>
      <c r="J1690" s="491"/>
    </row>
    <row r="1691" spans="4:10">
      <c r="D1691" s="488" t="s">
        <v>2</v>
      </c>
      <c r="E1691" s="488" t="s">
        <v>3</v>
      </c>
      <c r="F1691" s="486"/>
      <c r="H1691" s="493" t="s">
        <v>2</v>
      </c>
      <c r="I1691" s="493" t="s">
        <v>3</v>
      </c>
      <c r="J1691" s="492"/>
    </row>
    <row r="1692" spans="4:10">
      <c r="D1692" s="217" t="s">
        <v>383</v>
      </c>
      <c r="E1692" s="493">
        <v>167</v>
      </c>
      <c r="F1692" s="217">
        <v>501</v>
      </c>
      <c r="H1692" s="217" t="s">
        <v>387</v>
      </c>
      <c r="I1692" s="493">
        <v>234</v>
      </c>
      <c r="J1692" s="217">
        <v>700</v>
      </c>
    </row>
    <row r="1693" spans="4:10">
      <c r="D1693" s="217" t="s">
        <v>384</v>
      </c>
      <c r="E1693" s="493">
        <v>300</v>
      </c>
      <c r="F1693" s="217">
        <v>900</v>
      </c>
      <c r="H1693" s="217" t="s">
        <v>388</v>
      </c>
      <c r="I1693" s="493">
        <v>156</v>
      </c>
      <c r="J1693" s="217">
        <v>468</v>
      </c>
    </row>
    <row r="1694" spans="4:10">
      <c r="D1694" s="493" t="s">
        <v>385</v>
      </c>
      <c r="E1694" s="493">
        <v>300</v>
      </c>
      <c r="F1694" s="217">
        <v>900</v>
      </c>
      <c r="H1694" s="493" t="s">
        <v>389</v>
      </c>
      <c r="I1694" s="493">
        <v>345</v>
      </c>
      <c r="J1694" s="217">
        <v>1725</v>
      </c>
    </row>
    <row r="1695" spans="4:10">
      <c r="D1695" s="217" t="s">
        <v>4</v>
      </c>
      <c r="E1695" s="217">
        <f>SUM(E1692:E1694)</f>
        <v>767</v>
      </c>
      <c r="F1695" s="217">
        <f>SUM(F1692:F1694)</f>
        <v>2301</v>
      </c>
      <c r="H1695" s="217" t="s">
        <v>4</v>
      </c>
      <c r="I1695" s="217">
        <f>SUM(I1692:I1694)</f>
        <v>735</v>
      </c>
      <c r="J1695" s="217">
        <f>SUM(J1692:J1694)</f>
        <v>2893</v>
      </c>
    </row>
    <row r="1698" spans="4:10" ht="30">
      <c r="D1698" s="478" t="s">
        <v>0</v>
      </c>
      <c r="E1698" s="498"/>
      <c r="F1698" s="490" t="s">
        <v>184</v>
      </c>
      <c r="H1698" s="478" t="s">
        <v>0</v>
      </c>
      <c r="I1698" s="498"/>
      <c r="J1698" s="494" t="s">
        <v>184</v>
      </c>
    </row>
    <row r="1699" spans="4:10">
      <c r="D1699" s="493" t="s">
        <v>1</v>
      </c>
      <c r="E1699" s="223">
        <v>46079</v>
      </c>
      <c r="F1699" s="491"/>
      <c r="H1699" s="497" t="s">
        <v>1</v>
      </c>
      <c r="I1699" s="223">
        <v>46080</v>
      </c>
      <c r="J1699" s="495"/>
    </row>
    <row r="1700" spans="4:10">
      <c r="D1700" s="493" t="s">
        <v>2</v>
      </c>
      <c r="E1700" s="493" t="s">
        <v>3</v>
      </c>
      <c r="F1700" s="492"/>
      <c r="H1700" s="497" t="s">
        <v>2</v>
      </c>
      <c r="I1700" s="497" t="s">
        <v>3</v>
      </c>
      <c r="J1700" s="496"/>
    </row>
    <row r="1701" spans="4:10">
      <c r="D1701" s="217" t="s">
        <v>389</v>
      </c>
      <c r="E1701" s="493">
        <v>1255</v>
      </c>
      <c r="F1701" s="217">
        <v>6275</v>
      </c>
      <c r="H1701" s="217" t="s">
        <v>390</v>
      </c>
      <c r="I1701" s="497">
        <v>969</v>
      </c>
      <c r="J1701" s="217">
        <v>4845</v>
      </c>
    </row>
    <row r="1702" spans="4:10">
      <c r="D1702" s="217" t="s">
        <v>390</v>
      </c>
      <c r="E1702" s="493">
        <v>540</v>
      </c>
      <c r="F1702" s="217">
        <v>2700</v>
      </c>
      <c r="H1702" s="217" t="s">
        <v>375</v>
      </c>
      <c r="I1702" s="497">
        <v>135</v>
      </c>
      <c r="J1702" s="217">
        <v>405</v>
      </c>
    </row>
    <row r="1703" spans="4:10">
      <c r="D1703" s="493"/>
      <c r="E1703" s="493"/>
      <c r="F1703" s="217"/>
      <c r="H1703" s="497"/>
      <c r="I1703" s="497"/>
      <c r="J1703" s="217"/>
    </row>
    <row r="1704" spans="4:10">
      <c r="D1704" s="217" t="s">
        <v>4</v>
      </c>
      <c r="E1704" s="217">
        <f>SUM(E1701:E1703)</f>
        <v>1795</v>
      </c>
      <c r="F1704" s="217">
        <f>SUM(F1701:F1703)</f>
        <v>8975</v>
      </c>
      <c r="H1704" s="217" t="s">
        <v>4</v>
      </c>
      <c r="I1704" s="217">
        <f>SUM(I1701:I1703)</f>
        <v>1104</v>
      </c>
      <c r="J1704" s="217">
        <f>SUM(J1701:J1703)</f>
        <v>5250</v>
      </c>
    </row>
    <row r="1707" spans="4:10" ht="30">
      <c r="D1707" s="478" t="s">
        <v>0</v>
      </c>
      <c r="E1707" s="498"/>
      <c r="F1707" s="494" t="s">
        <v>184</v>
      </c>
    </row>
    <row r="1708" spans="4:10">
      <c r="D1708" s="497" t="s">
        <v>1</v>
      </c>
      <c r="E1708" s="223">
        <v>46081</v>
      </c>
      <c r="F1708" s="495"/>
    </row>
    <row r="1709" spans="4:10">
      <c r="D1709" s="497" t="s">
        <v>2</v>
      </c>
      <c r="E1709" s="497" t="s">
        <v>3</v>
      </c>
      <c r="F1709" s="496"/>
    </row>
    <row r="1710" spans="4:10">
      <c r="D1710" s="217" t="s">
        <v>391</v>
      </c>
      <c r="E1710" s="497">
        <v>400</v>
      </c>
      <c r="F1710" s="217">
        <v>1200</v>
      </c>
    </row>
    <row r="1711" spans="4:10">
      <c r="D1711" s="217" t="s">
        <v>392</v>
      </c>
      <c r="E1711" s="497">
        <v>575</v>
      </c>
      <c r="F1711" s="217">
        <v>3450</v>
      </c>
    </row>
    <row r="1712" spans="4:10">
      <c r="D1712" s="497"/>
      <c r="E1712" s="497"/>
      <c r="F1712" s="217"/>
    </row>
    <row r="1713" spans="4:10">
      <c r="D1713" s="217" t="s">
        <v>4</v>
      </c>
      <c r="E1713" s="217">
        <f>SUM(E1710:E1712)</f>
        <v>975</v>
      </c>
      <c r="F1713" s="217">
        <f>SUM(F1710:F1712)</f>
        <v>4650</v>
      </c>
    </row>
    <row r="1714" spans="4:10" ht="15.75" thickBot="1"/>
    <row r="1715" spans="4:10">
      <c r="D1715" s="658" t="s">
        <v>394</v>
      </c>
      <c r="E1715" s="659"/>
      <c r="F1715" s="659"/>
      <c r="G1715" s="659"/>
      <c r="H1715" s="659"/>
      <c r="I1715" s="659"/>
      <c r="J1715" s="660"/>
    </row>
    <row r="1716" spans="4:10" ht="15.75" thickBot="1">
      <c r="D1716" s="661"/>
      <c r="E1716" s="662"/>
      <c r="F1716" s="662"/>
      <c r="G1716" s="662"/>
      <c r="H1716" s="662"/>
      <c r="I1716" s="662"/>
      <c r="J1716" s="663"/>
    </row>
    <row r="1717" spans="4:10">
      <c r="D1717" s="506"/>
      <c r="E1717" s="506"/>
      <c r="F1717" s="506"/>
      <c r="G1717" s="506"/>
      <c r="H1717" s="506"/>
      <c r="I1717" s="506"/>
      <c r="J1717" s="506"/>
    </row>
    <row r="1719" spans="4:10" ht="30">
      <c r="D1719" s="478" t="s">
        <v>0</v>
      </c>
      <c r="E1719" s="498"/>
      <c r="F1719" s="499" t="s">
        <v>184</v>
      </c>
      <c r="H1719" s="478" t="s">
        <v>0</v>
      </c>
      <c r="I1719" s="498"/>
      <c r="J1719" s="499" t="s">
        <v>184</v>
      </c>
    </row>
    <row r="1720" spans="4:10">
      <c r="D1720" s="502" t="s">
        <v>1</v>
      </c>
      <c r="E1720" s="223">
        <v>46084</v>
      </c>
      <c r="F1720" s="500"/>
      <c r="H1720" s="502" t="s">
        <v>1</v>
      </c>
      <c r="I1720" s="223">
        <v>46085</v>
      </c>
      <c r="J1720" s="500"/>
    </row>
    <row r="1721" spans="4:10">
      <c r="D1721" s="502" t="s">
        <v>2</v>
      </c>
      <c r="E1721" s="502" t="s">
        <v>3</v>
      </c>
      <c r="F1721" s="501"/>
      <c r="H1721" s="502" t="s">
        <v>2</v>
      </c>
      <c r="I1721" s="502" t="s">
        <v>3</v>
      </c>
      <c r="J1721" s="501"/>
    </row>
    <row r="1722" spans="4:10">
      <c r="D1722" s="217" t="s">
        <v>389</v>
      </c>
      <c r="E1722" s="502">
        <v>570</v>
      </c>
      <c r="F1722" s="217">
        <v>3420</v>
      </c>
      <c r="H1722" s="217" t="s">
        <v>252</v>
      </c>
      <c r="I1722" s="502">
        <v>800</v>
      </c>
      <c r="J1722" s="217">
        <v>2400</v>
      </c>
    </row>
    <row r="1723" spans="4:10">
      <c r="D1723" s="217" t="s">
        <v>393</v>
      </c>
      <c r="E1723" s="502">
        <v>395</v>
      </c>
      <c r="F1723" s="217">
        <v>2370</v>
      </c>
      <c r="H1723" s="217"/>
      <c r="I1723" s="502"/>
      <c r="J1723" s="217"/>
    </row>
    <row r="1724" spans="4:10">
      <c r="D1724" s="502" t="s">
        <v>395</v>
      </c>
      <c r="E1724" s="502">
        <v>280</v>
      </c>
      <c r="F1724" s="217">
        <v>840</v>
      </c>
      <c r="H1724" s="502"/>
      <c r="I1724" s="502"/>
      <c r="J1724" s="217"/>
    </row>
    <row r="1725" spans="4:10">
      <c r="D1725" s="217" t="s">
        <v>4</v>
      </c>
      <c r="E1725" s="217">
        <f>SUM(E1722:E1724)</f>
        <v>1245</v>
      </c>
      <c r="F1725" s="217">
        <f>SUM(F1722:F1724)</f>
        <v>6630</v>
      </c>
      <c r="H1725" s="217" t="s">
        <v>4</v>
      </c>
      <c r="I1725" s="217">
        <f>SUM(I1722:I1724)</f>
        <v>800</v>
      </c>
      <c r="J1725" s="217">
        <f>SUM(J1722:J1724)</f>
        <v>2400</v>
      </c>
    </row>
    <row r="1728" spans="4:10" ht="30">
      <c r="D1728" s="478" t="s">
        <v>0</v>
      </c>
      <c r="E1728" s="498"/>
      <c r="F1728" s="499" t="s">
        <v>184</v>
      </c>
      <c r="H1728" s="478" t="s">
        <v>0</v>
      </c>
      <c r="I1728" s="498"/>
      <c r="J1728" s="499" t="s">
        <v>184</v>
      </c>
    </row>
    <row r="1729" spans="4:10">
      <c r="D1729" s="502" t="s">
        <v>1</v>
      </c>
      <c r="E1729" s="223">
        <v>46086</v>
      </c>
      <c r="F1729" s="507"/>
      <c r="H1729" s="502" t="s">
        <v>1</v>
      </c>
      <c r="I1729" s="223">
        <v>46087</v>
      </c>
      <c r="J1729" s="507"/>
    </row>
    <row r="1730" spans="4:10">
      <c r="D1730" s="502" t="s">
        <v>2</v>
      </c>
      <c r="E1730" s="502" t="s">
        <v>3</v>
      </c>
      <c r="F1730" s="501"/>
      <c r="H1730" s="502" t="s">
        <v>2</v>
      </c>
      <c r="I1730" s="502" t="s">
        <v>3</v>
      </c>
      <c r="J1730" s="501"/>
    </row>
    <row r="1731" spans="4:10">
      <c r="D1731" s="217" t="s">
        <v>251</v>
      </c>
      <c r="E1731" s="502">
        <v>800</v>
      </c>
      <c r="F1731" s="217">
        <v>2400</v>
      </c>
      <c r="H1731" s="217" t="s">
        <v>331</v>
      </c>
      <c r="I1731" s="502">
        <v>708</v>
      </c>
      <c r="J1731" s="217">
        <v>2124</v>
      </c>
    </row>
    <row r="1732" spans="4:10">
      <c r="D1732" s="217"/>
      <c r="E1732" s="502"/>
      <c r="F1732" s="217"/>
      <c r="H1732" s="217" t="s">
        <v>45</v>
      </c>
      <c r="I1732" s="502"/>
      <c r="J1732" s="217"/>
    </row>
    <row r="1733" spans="4:10">
      <c r="D1733" s="502"/>
      <c r="E1733" s="502"/>
      <c r="F1733" s="217"/>
      <c r="H1733" s="502"/>
      <c r="I1733" s="502"/>
      <c r="J1733" s="217"/>
    </row>
    <row r="1734" spans="4:10">
      <c r="D1734" s="217" t="s">
        <v>4</v>
      </c>
      <c r="E1734" s="217">
        <f>SUM(E1731:E1733)</f>
        <v>800</v>
      </c>
      <c r="F1734" s="217">
        <f>SUM(F1731:F1733)</f>
        <v>2400</v>
      </c>
      <c r="H1734" s="217" t="s">
        <v>4</v>
      </c>
      <c r="I1734" s="217">
        <f>SUM(I1731:I1733)</f>
        <v>708</v>
      </c>
      <c r="J1734" s="217">
        <f>SUM(J1731:J1733)</f>
        <v>2124</v>
      </c>
    </row>
    <row r="1737" spans="4:10" ht="30">
      <c r="D1737" s="478" t="s">
        <v>0</v>
      </c>
      <c r="E1737" s="498"/>
      <c r="F1737" s="499" t="s">
        <v>184</v>
      </c>
      <c r="H1737" s="478" t="s">
        <v>0</v>
      </c>
      <c r="I1737" s="498"/>
      <c r="J1737" s="503" t="s">
        <v>184</v>
      </c>
    </row>
    <row r="1738" spans="4:10">
      <c r="D1738" s="502" t="s">
        <v>1</v>
      </c>
      <c r="E1738" s="223">
        <v>46088</v>
      </c>
      <c r="F1738" s="507"/>
      <c r="H1738" s="505" t="s">
        <v>1</v>
      </c>
      <c r="I1738" s="223">
        <v>46091</v>
      </c>
      <c r="J1738" s="507"/>
    </row>
    <row r="1739" spans="4:10">
      <c r="D1739" s="502" t="s">
        <v>2</v>
      </c>
      <c r="E1739" s="502" t="s">
        <v>3</v>
      </c>
      <c r="F1739" s="501"/>
      <c r="H1739" s="505" t="s">
        <v>2</v>
      </c>
      <c r="I1739" s="505" t="s">
        <v>3</v>
      </c>
      <c r="J1739" s="504"/>
    </row>
    <row r="1740" spans="4:10">
      <c r="D1740" s="217" t="s">
        <v>331</v>
      </c>
      <c r="E1740" s="502">
        <v>92</v>
      </c>
      <c r="F1740" s="217">
        <v>276</v>
      </c>
      <c r="H1740" s="217" t="s">
        <v>375</v>
      </c>
      <c r="I1740" s="505">
        <v>400</v>
      </c>
      <c r="J1740" s="217">
        <v>1200</v>
      </c>
    </row>
    <row r="1741" spans="4:10">
      <c r="D1741" s="217" t="s">
        <v>396</v>
      </c>
      <c r="E1741" s="502">
        <v>1690</v>
      </c>
      <c r="F1741" s="217">
        <v>10140</v>
      </c>
      <c r="H1741" s="217" t="s">
        <v>222</v>
      </c>
      <c r="I1741" s="505">
        <v>175</v>
      </c>
      <c r="J1741" s="217">
        <v>525</v>
      </c>
    </row>
    <row r="1742" spans="4:10">
      <c r="D1742" s="502"/>
      <c r="E1742" s="502"/>
      <c r="F1742" s="217"/>
      <c r="H1742" s="505"/>
      <c r="I1742" s="505"/>
      <c r="J1742" s="217"/>
    </row>
    <row r="1743" spans="4:10">
      <c r="D1743" s="217" t="s">
        <v>4</v>
      </c>
      <c r="E1743" s="217">
        <f>SUM(E1740:E1742)</f>
        <v>1782</v>
      </c>
      <c r="F1743" s="217">
        <f>SUM(F1740:F1742)</f>
        <v>10416</v>
      </c>
      <c r="H1743" s="217" t="s">
        <v>4</v>
      </c>
      <c r="I1743" s="217">
        <f>SUM(I1740:I1742)</f>
        <v>575</v>
      </c>
      <c r="J1743" s="217">
        <f>SUM(J1740:J1742)</f>
        <v>1725</v>
      </c>
    </row>
    <row r="1746" spans="4:10" ht="30">
      <c r="D1746" s="478" t="s">
        <v>0</v>
      </c>
      <c r="E1746" s="498"/>
      <c r="F1746" s="508" t="s">
        <v>184</v>
      </c>
      <c r="H1746" s="478" t="s">
        <v>0</v>
      </c>
      <c r="I1746" s="498"/>
      <c r="J1746" s="508" t="s">
        <v>184</v>
      </c>
    </row>
    <row r="1747" spans="4:10">
      <c r="D1747" s="510" t="s">
        <v>1</v>
      </c>
      <c r="E1747" s="223">
        <v>46092</v>
      </c>
      <c r="F1747" s="507"/>
      <c r="H1747" s="510" t="s">
        <v>1</v>
      </c>
      <c r="I1747" s="223">
        <v>46093</v>
      </c>
      <c r="J1747" s="507"/>
    </row>
    <row r="1748" spans="4:10">
      <c r="D1748" s="510" t="s">
        <v>2</v>
      </c>
      <c r="E1748" s="510" t="s">
        <v>3</v>
      </c>
      <c r="F1748" s="509"/>
      <c r="H1748" s="510" t="s">
        <v>2</v>
      </c>
      <c r="I1748" s="510" t="s">
        <v>3</v>
      </c>
      <c r="J1748" s="509"/>
    </row>
    <row r="1749" spans="4:10">
      <c r="D1749" s="217" t="s">
        <v>5</v>
      </c>
      <c r="E1749" s="510">
        <v>225</v>
      </c>
      <c r="F1749" s="217">
        <v>675</v>
      </c>
      <c r="H1749" s="217" t="s">
        <v>398</v>
      </c>
      <c r="I1749" s="510">
        <v>523</v>
      </c>
      <c r="J1749" s="217">
        <v>2615</v>
      </c>
    </row>
    <row r="1750" spans="4:10">
      <c r="D1750" s="217" t="s">
        <v>397</v>
      </c>
      <c r="E1750" s="510">
        <v>800</v>
      </c>
      <c r="F1750" s="217">
        <v>4000</v>
      </c>
      <c r="H1750" s="217" t="s">
        <v>399</v>
      </c>
      <c r="I1750" s="510">
        <v>400</v>
      </c>
      <c r="J1750" s="217">
        <v>1200</v>
      </c>
    </row>
    <row r="1751" spans="4:10">
      <c r="D1751" s="510" t="s">
        <v>398</v>
      </c>
      <c r="E1751" s="510">
        <v>360</v>
      </c>
      <c r="F1751" s="217">
        <v>1800</v>
      </c>
      <c r="H1751" s="510"/>
      <c r="I1751" s="510"/>
      <c r="J1751" s="217"/>
    </row>
    <row r="1752" spans="4:10">
      <c r="D1752" s="217" t="s">
        <v>4</v>
      </c>
      <c r="E1752" s="217">
        <f>SUM(E1749:E1751)</f>
        <v>1385</v>
      </c>
      <c r="F1752" s="217">
        <f>SUM(F1749:F1751)</f>
        <v>6475</v>
      </c>
      <c r="H1752" s="217" t="s">
        <v>4</v>
      </c>
      <c r="I1752" s="217">
        <f>SUM(I1749:I1751)</f>
        <v>923</v>
      </c>
      <c r="J1752" s="217">
        <f>SUM(J1749:J1751)</f>
        <v>3815</v>
      </c>
    </row>
    <row r="1755" spans="4:10" ht="30">
      <c r="D1755" s="478" t="s">
        <v>0</v>
      </c>
      <c r="E1755" s="498"/>
      <c r="F1755" s="508" t="s">
        <v>184</v>
      </c>
      <c r="H1755" s="478" t="s">
        <v>0</v>
      </c>
      <c r="I1755" s="498"/>
      <c r="J1755" s="508" t="s">
        <v>184</v>
      </c>
    </row>
    <row r="1756" spans="4:10">
      <c r="D1756" s="510" t="s">
        <v>1</v>
      </c>
      <c r="E1756" s="223">
        <v>46094</v>
      </c>
      <c r="F1756" s="507"/>
      <c r="H1756" s="510" t="s">
        <v>1</v>
      </c>
      <c r="I1756" s="223">
        <v>46095</v>
      </c>
      <c r="J1756" s="507"/>
    </row>
    <row r="1757" spans="4:10">
      <c r="D1757" s="510" t="s">
        <v>2</v>
      </c>
      <c r="E1757" s="510" t="s">
        <v>3</v>
      </c>
      <c r="F1757" s="509"/>
      <c r="H1757" s="510" t="s">
        <v>2</v>
      </c>
      <c r="I1757" s="510" t="s">
        <v>3</v>
      </c>
      <c r="J1757" s="509"/>
    </row>
    <row r="1758" spans="4:10">
      <c r="D1758" s="217" t="s">
        <v>400</v>
      </c>
      <c r="E1758" s="510">
        <v>400</v>
      </c>
      <c r="F1758" s="217">
        <v>1200</v>
      </c>
      <c r="H1758" s="217" t="s">
        <v>20</v>
      </c>
      <c r="I1758" s="510">
        <v>414</v>
      </c>
      <c r="J1758" s="217">
        <v>1242</v>
      </c>
    </row>
    <row r="1759" spans="4:10">
      <c r="D1759" s="217" t="s">
        <v>401</v>
      </c>
      <c r="E1759" s="510">
        <v>386</v>
      </c>
      <c r="F1759" s="217">
        <v>1158</v>
      </c>
      <c r="H1759" s="217" t="s">
        <v>402</v>
      </c>
      <c r="I1759" s="510">
        <v>49</v>
      </c>
      <c r="J1759" s="217">
        <v>147</v>
      </c>
    </row>
    <row r="1760" spans="4:10">
      <c r="D1760" s="510"/>
      <c r="E1760" s="510"/>
      <c r="F1760" s="217"/>
      <c r="H1760" s="510"/>
      <c r="I1760" s="510"/>
      <c r="J1760" s="217"/>
    </row>
    <row r="1761" spans="4:10">
      <c r="D1761" s="217" t="s">
        <v>4</v>
      </c>
      <c r="E1761" s="217">
        <f>SUM(E1758:E1760)</f>
        <v>786</v>
      </c>
      <c r="F1761" s="217">
        <f>SUM(F1758:F1760)</f>
        <v>2358</v>
      </c>
      <c r="H1761" s="217" t="s">
        <v>4</v>
      </c>
      <c r="I1761" s="217">
        <f>SUM(I1758:I1760)</f>
        <v>463</v>
      </c>
      <c r="J1761" s="217">
        <f>SUM(J1758:J1760)</f>
        <v>1389</v>
      </c>
    </row>
    <row r="1764" spans="4:10" ht="30" customHeight="1">
      <c r="D1764" s="681" t="s">
        <v>0</v>
      </c>
      <c r="E1764" s="682"/>
      <c r="F1764" s="511" t="s">
        <v>184</v>
      </c>
      <c r="H1764" s="681" t="s">
        <v>0</v>
      </c>
      <c r="I1764" s="682"/>
      <c r="J1764" s="511" t="s">
        <v>184</v>
      </c>
    </row>
    <row r="1765" spans="4:10">
      <c r="D1765" s="513" t="s">
        <v>1</v>
      </c>
      <c r="E1765" s="223">
        <v>46098</v>
      </c>
      <c r="F1765" s="507"/>
      <c r="H1765" s="513" t="s">
        <v>1</v>
      </c>
      <c r="I1765" s="223">
        <v>46099</v>
      </c>
      <c r="J1765" s="507"/>
    </row>
    <row r="1766" spans="4:10">
      <c r="D1766" s="513" t="s">
        <v>2</v>
      </c>
      <c r="E1766" s="513" t="s">
        <v>3</v>
      </c>
      <c r="F1766" s="512"/>
      <c r="H1766" s="513" t="s">
        <v>2</v>
      </c>
      <c r="I1766" s="513" t="s">
        <v>3</v>
      </c>
      <c r="J1766" s="512"/>
    </row>
    <row r="1767" spans="4:10">
      <c r="D1767" s="217"/>
      <c r="E1767" s="513"/>
      <c r="F1767" s="217"/>
      <c r="H1767" s="217" t="s">
        <v>403</v>
      </c>
      <c r="I1767" s="513">
        <v>400</v>
      </c>
      <c r="J1767" s="217">
        <v>1200</v>
      </c>
    </row>
    <row r="1768" spans="4:10">
      <c r="D1768" s="217" t="s">
        <v>402</v>
      </c>
      <c r="E1768" s="517">
        <v>366</v>
      </c>
      <c r="F1768" s="217">
        <v>1098</v>
      </c>
      <c r="H1768" s="217" t="s">
        <v>205</v>
      </c>
      <c r="I1768" s="517">
        <v>561</v>
      </c>
      <c r="J1768" s="217">
        <v>2805</v>
      </c>
    </row>
    <row r="1769" spans="4:10">
      <c r="D1769" s="513"/>
      <c r="E1769" s="513"/>
      <c r="F1769" s="217"/>
      <c r="H1769" s="513"/>
      <c r="I1769" s="513"/>
      <c r="J1769" s="217"/>
    </row>
    <row r="1770" spans="4:10">
      <c r="D1770" s="217" t="s">
        <v>4</v>
      </c>
      <c r="E1770" s="217">
        <f>SUM(E1767:E1769)</f>
        <v>366</v>
      </c>
      <c r="F1770" s="217">
        <f>SUM(F1767:F1769)</f>
        <v>1098</v>
      </c>
      <c r="H1770" s="217" t="s">
        <v>4</v>
      </c>
      <c r="I1770" s="217">
        <f>SUM(I1767:I1769)</f>
        <v>961</v>
      </c>
      <c r="J1770" s="217">
        <f>SUM(J1767:J1769)</f>
        <v>4005</v>
      </c>
    </row>
    <row r="1773" spans="4:10" ht="30" customHeight="1">
      <c r="D1773" s="681" t="s">
        <v>0</v>
      </c>
      <c r="E1773" s="682"/>
      <c r="F1773" s="511" t="s">
        <v>184</v>
      </c>
      <c r="H1773" s="681" t="s">
        <v>0</v>
      </c>
      <c r="I1773" s="682"/>
      <c r="J1773" s="514" t="s">
        <v>184</v>
      </c>
    </row>
    <row r="1774" spans="4:10">
      <c r="D1774" s="513" t="s">
        <v>1</v>
      </c>
      <c r="E1774" s="223">
        <v>46100</v>
      </c>
      <c r="F1774" s="507"/>
      <c r="H1774" s="516" t="s">
        <v>1</v>
      </c>
      <c r="I1774" s="223">
        <v>46101</v>
      </c>
      <c r="J1774" s="507"/>
    </row>
    <row r="1775" spans="4:10">
      <c r="D1775" s="513" t="s">
        <v>2</v>
      </c>
      <c r="E1775" s="513" t="s">
        <v>3</v>
      </c>
      <c r="F1775" s="512"/>
      <c r="H1775" s="516" t="s">
        <v>2</v>
      </c>
      <c r="I1775" s="516" t="s">
        <v>3</v>
      </c>
      <c r="J1775" s="515"/>
    </row>
    <row r="1776" spans="4:10">
      <c r="D1776" s="217" t="s">
        <v>205</v>
      </c>
      <c r="E1776" s="513">
        <v>197</v>
      </c>
      <c r="F1776" s="217">
        <v>985</v>
      </c>
      <c r="H1776" s="217" t="s">
        <v>207</v>
      </c>
      <c r="I1776" s="516">
        <v>800</v>
      </c>
      <c r="J1776" s="217">
        <v>2400</v>
      </c>
    </row>
    <row r="1777" spans="4:10">
      <c r="D1777" s="217" t="s">
        <v>404</v>
      </c>
      <c r="E1777" s="517">
        <v>595</v>
      </c>
      <c r="F1777" s="217">
        <v>3570</v>
      </c>
      <c r="H1777" s="217"/>
      <c r="I1777" s="517"/>
      <c r="J1777" s="217"/>
    </row>
    <row r="1778" spans="4:10">
      <c r="D1778" s="513" t="s">
        <v>405</v>
      </c>
      <c r="E1778" s="513">
        <v>595</v>
      </c>
      <c r="F1778" s="217">
        <v>3570</v>
      </c>
      <c r="H1778" s="516"/>
      <c r="I1778" s="516"/>
      <c r="J1778" s="217"/>
    </row>
    <row r="1779" spans="4:10">
      <c r="D1779" s="217" t="s">
        <v>4</v>
      </c>
      <c r="E1779" s="217">
        <f>SUM(E1776:E1778)</f>
        <v>1387</v>
      </c>
      <c r="F1779" s="217">
        <f>SUM(F1776:F1778)</f>
        <v>8125</v>
      </c>
      <c r="H1779" s="217" t="s">
        <v>4</v>
      </c>
      <c r="I1779" s="217">
        <f>SUM(I1776:I1778)</f>
        <v>800</v>
      </c>
      <c r="J1779" s="217">
        <v>2400</v>
      </c>
    </row>
    <row r="1782" spans="4:10" ht="30" customHeight="1">
      <c r="D1782" s="681" t="s">
        <v>0</v>
      </c>
      <c r="E1782" s="682"/>
      <c r="F1782" s="514" t="s">
        <v>184</v>
      </c>
      <c r="H1782" s="681" t="s">
        <v>0</v>
      </c>
      <c r="I1782" s="682"/>
      <c r="J1782" s="514" t="s">
        <v>184</v>
      </c>
    </row>
    <row r="1783" spans="4:10">
      <c r="D1783" s="516" t="s">
        <v>1</v>
      </c>
      <c r="E1783" s="223">
        <v>46102</v>
      </c>
      <c r="F1783" s="507"/>
      <c r="H1783" s="516" t="s">
        <v>1</v>
      </c>
      <c r="I1783" s="223">
        <v>46105</v>
      </c>
      <c r="J1783" s="507"/>
    </row>
    <row r="1784" spans="4:10">
      <c r="D1784" s="516" t="s">
        <v>2</v>
      </c>
      <c r="E1784" s="516" t="s">
        <v>3</v>
      </c>
      <c r="F1784" s="515"/>
      <c r="H1784" s="516" t="s">
        <v>2</v>
      </c>
      <c r="I1784" s="516" t="s">
        <v>3</v>
      </c>
      <c r="J1784" s="515"/>
    </row>
    <row r="1785" spans="4:10">
      <c r="D1785" s="217" t="s">
        <v>252</v>
      </c>
      <c r="E1785" s="516">
        <v>400</v>
      </c>
      <c r="F1785" s="217">
        <v>1200</v>
      </c>
      <c r="H1785" s="217" t="s">
        <v>251</v>
      </c>
      <c r="I1785" s="516">
        <v>200</v>
      </c>
      <c r="J1785" s="217">
        <v>600</v>
      </c>
    </row>
    <row r="1786" spans="4:10">
      <c r="D1786" s="217" t="s">
        <v>251</v>
      </c>
      <c r="E1786" s="517">
        <v>201</v>
      </c>
      <c r="F1786" s="217">
        <v>603</v>
      </c>
      <c r="H1786" s="217" t="s">
        <v>331</v>
      </c>
      <c r="I1786" s="517">
        <v>400</v>
      </c>
      <c r="J1786" s="217">
        <v>1200</v>
      </c>
    </row>
    <row r="1787" spans="4:10">
      <c r="D1787" s="516"/>
      <c r="E1787" s="516"/>
      <c r="F1787" s="217"/>
      <c r="H1787" s="516" t="s">
        <v>367</v>
      </c>
      <c r="I1787" s="516">
        <v>12</v>
      </c>
      <c r="J1787" s="217">
        <v>36</v>
      </c>
    </row>
    <row r="1788" spans="4:10">
      <c r="D1788" s="217" t="s">
        <v>4</v>
      </c>
      <c r="E1788" s="217">
        <f>SUM(E1785:E1787)</f>
        <v>601</v>
      </c>
      <c r="F1788" s="217"/>
      <c r="H1788" s="217" t="s">
        <v>4</v>
      </c>
      <c r="I1788" s="217">
        <f>SUM(I1785:I1787)</f>
        <v>612</v>
      </c>
      <c r="J1788" s="217">
        <f>SUM(J1785:J1787)</f>
        <v>1836</v>
      </c>
    </row>
    <row r="1791" spans="4:10" ht="30" customHeight="1">
      <c r="D1791" s="681" t="s">
        <v>0</v>
      </c>
      <c r="E1791" s="682"/>
      <c r="F1791" s="514" t="s">
        <v>184</v>
      </c>
      <c r="H1791" s="681" t="s">
        <v>0</v>
      </c>
      <c r="I1791" s="682"/>
      <c r="J1791" s="514" t="s">
        <v>184</v>
      </c>
    </row>
    <row r="1792" spans="4:10">
      <c r="D1792" s="516" t="s">
        <v>1</v>
      </c>
      <c r="E1792" s="223">
        <v>46106</v>
      </c>
      <c r="F1792" s="507"/>
      <c r="H1792" s="516" t="s">
        <v>1</v>
      </c>
      <c r="I1792" s="223">
        <v>46107</v>
      </c>
      <c r="J1792" s="507"/>
    </row>
    <row r="1793" spans="4:10">
      <c r="D1793" s="516" t="s">
        <v>2</v>
      </c>
      <c r="E1793" s="516" t="s">
        <v>3</v>
      </c>
      <c r="F1793" s="515"/>
      <c r="H1793" s="516" t="s">
        <v>2</v>
      </c>
      <c r="I1793" s="516" t="s">
        <v>3</v>
      </c>
      <c r="J1793" s="515"/>
    </row>
    <row r="1794" spans="4:10">
      <c r="D1794" s="516" t="s">
        <v>367</v>
      </c>
      <c r="E1794" s="516">
        <v>388</v>
      </c>
      <c r="F1794" s="217">
        <v>1164</v>
      </c>
      <c r="H1794" s="217" t="s">
        <v>399</v>
      </c>
      <c r="I1794" s="516">
        <v>400</v>
      </c>
      <c r="J1794" s="217">
        <v>1200</v>
      </c>
    </row>
    <row r="1795" spans="4:10">
      <c r="D1795" s="217" t="s">
        <v>400</v>
      </c>
      <c r="E1795" s="517">
        <v>400</v>
      </c>
      <c r="F1795" s="217">
        <v>1200</v>
      </c>
      <c r="H1795" s="217" t="s">
        <v>406</v>
      </c>
      <c r="I1795" s="517">
        <v>155</v>
      </c>
      <c r="J1795" s="217">
        <v>465</v>
      </c>
    </row>
    <row r="1796" spans="4:10">
      <c r="D1796" s="516"/>
      <c r="E1796" s="516"/>
      <c r="F1796" s="217"/>
      <c r="H1796" s="516"/>
      <c r="I1796" s="516"/>
      <c r="J1796" s="217"/>
    </row>
    <row r="1797" spans="4:10">
      <c r="D1797" s="217" t="s">
        <v>4</v>
      </c>
      <c r="E1797" s="217">
        <f>SUM(E1794:E1796)</f>
        <v>788</v>
      </c>
      <c r="F1797" s="217">
        <f>SUM(F1794:F1796)</f>
        <v>2364</v>
      </c>
      <c r="H1797" s="217" t="s">
        <v>4</v>
      </c>
      <c r="I1797" s="217">
        <f>SUM(I1794:I1796)</f>
        <v>555</v>
      </c>
      <c r="J1797" s="217">
        <f>SUM(J1794:J1796)</f>
        <v>1665</v>
      </c>
    </row>
    <row r="1800" spans="4:10" ht="30" customHeight="1">
      <c r="D1800" s="681" t="s">
        <v>0</v>
      </c>
      <c r="E1800" s="682"/>
      <c r="F1800" s="514" t="s">
        <v>184</v>
      </c>
      <c r="H1800" s="681" t="s">
        <v>0</v>
      </c>
      <c r="I1800" s="682"/>
      <c r="J1800" s="518" t="s">
        <v>184</v>
      </c>
    </row>
    <row r="1801" spans="4:10">
      <c r="D1801" s="516" t="s">
        <v>1</v>
      </c>
      <c r="E1801" s="223">
        <v>46108</v>
      </c>
      <c r="F1801" s="507"/>
      <c r="H1801" s="520" t="s">
        <v>1</v>
      </c>
      <c r="I1801" s="223">
        <v>46109</v>
      </c>
      <c r="J1801" s="507"/>
    </row>
    <row r="1802" spans="4:10">
      <c r="D1802" s="516" t="s">
        <v>2</v>
      </c>
      <c r="E1802" s="516" t="s">
        <v>3</v>
      </c>
      <c r="F1802" s="515"/>
      <c r="H1802" s="520" t="s">
        <v>2</v>
      </c>
      <c r="I1802" s="520" t="s">
        <v>3</v>
      </c>
      <c r="J1802" s="519"/>
    </row>
    <row r="1803" spans="4:10">
      <c r="D1803" s="217" t="s">
        <v>407</v>
      </c>
      <c r="E1803" s="516">
        <v>400</v>
      </c>
      <c r="F1803" s="217">
        <v>1200</v>
      </c>
      <c r="H1803" s="217" t="s">
        <v>226</v>
      </c>
      <c r="I1803" s="520">
        <v>667</v>
      </c>
      <c r="J1803" s="217">
        <v>4002</v>
      </c>
    </row>
    <row r="1804" spans="4:10">
      <c r="D1804" s="217" t="s">
        <v>406</v>
      </c>
      <c r="E1804" s="517">
        <v>245</v>
      </c>
      <c r="F1804" s="217">
        <v>735</v>
      </c>
      <c r="H1804" s="217" t="s">
        <v>205</v>
      </c>
      <c r="I1804" s="517">
        <v>500</v>
      </c>
      <c r="J1804" s="217">
        <v>3000</v>
      </c>
    </row>
    <row r="1805" spans="4:10">
      <c r="D1805" s="516"/>
      <c r="E1805" s="516"/>
      <c r="F1805" s="217"/>
      <c r="H1805" s="520"/>
      <c r="I1805" s="520"/>
      <c r="J1805" s="217"/>
    </row>
    <row r="1806" spans="4:10">
      <c r="D1806" s="217" t="s">
        <v>4</v>
      </c>
      <c r="E1806" s="217">
        <f>SUM(E1803:E1805)</f>
        <v>645</v>
      </c>
      <c r="F1806" s="217">
        <f>SUM(F1803:F1805)</f>
        <v>1935</v>
      </c>
      <c r="H1806" s="217" t="s">
        <v>4</v>
      </c>
      <c r="I1806" s="217">
        <f>SUM(I1803:I1805)</f>
        <v>1167</v>
      </c>
      <c r="J1806" s="217">
        <f>SUM(J1803:J1805)</f>
        <v>7002</v>
      </c>
    </row>
    <row r="1809" spans="4:10" ht="30" customHeight="1">
      <c r="D1809" s="681" t="s">
        <v>0</v>
      </c>
      <c r="E1809" s="682"/>
      <c r="F1809" s="518" t="s">
        <v>184</v>
      </c>
      <c r="H1809" s="681" t="s">
        <v>0</v>
      </c>
      <c r="I1809" s="682"/>
      <c r="J1809" s="521" t="s">
        <v>184</v>
      </c>
    </row>
    <row r="1810" spans="4:10">
      <c r="D1810" s="520" t="s">
        <v>1</v>
      </c>
      <c r="E1810" s="223">
        <v>46111</v>
      </c>
      <c r="F1810" s="507"/>
      <c r="H1810" s="522" t="s">
        <v>1</v>
      </c>
      <c r="I1810" s="223">
        <v>46112</v>
      </c>
      <c r="J1810" s="521"/>
    </row>
    <row r="1811" spans="4:10">
      <c r="D1811" s="520" t="s">
        <v>2</v>
      </c>
      <c r="E1811" s="520" t="s">
        <v>3</v>
      </c>
      <c r="F1811" s="519"/>
      <c r="H1811" s="522" t="s">
        <v>2</v>
      </c>
      <c r="I1811" s="522" t="s">
        <v>3</v>
      </c>
      <c r="J1811" s="521"/>
    </row>
    <row r="1812" spans="4:10">
      <c r="D1812" s="217" t="s">
        <v>205</v>
      </c>
      <c r="E1812" s="520">
        <v>179</v>
      </c>
      <c r="F1812" s="217">
        <v>1074</v>
      </c>
      <c r="H1812" s="522" t="s">
        <v>408</v>
      </c>
      <c r="I1812" s="522">
        <v>200</v>
      </c>
      <c r="J1812" s="521">
        <v>600</v>
      </c>
    </row>
    <row r="1813" spans="4:10">
      <c r="D1813" s="217" t="s">
        <v>395</v>
      </c>
      <c r="E1813" s="517">
        <v>352</v>
      </c>
      <c r="F1813" s="217">
        <v>1056</v>
      </c>
      <c r="H1813" s="522" t="s">
        <v>5</v>
      </c>
      <c r="I1813" s="522">
        <v>400</v>
      </c>
      <c r="J1813" s="521">
        <v>1200</v>
      </c>
    </row>
    <row r="1814" spans="4:10">
      <c r="D1814" s="217" t="s">
        <v>387</v>
      </c>
      <c r="E1814" s="520">
        <v>200</v>
      </c>
      <c r="F1814" s="217">
        <v>600</v>
      </c>
      <c r="H1814" s="522"/>
      <c r="I1814" s="522"/>
      <c r="J1814" s="521"/>
    </row>
    <row r="1815" spans="4:10">
      <c r="D1815" s="217" t="s">
        <v>4</v>
      </c>
      <c r="E1815" s="217">
        <f>SUM(E1812:E1814)</f>
        <v>731</v>
      </c>
      <c r="F1815" s="217">
        <f>SUM(F1812:F1814)</f>
        <v>2730</v>
      </c>
      <c r="H1815" s="217" t="s">
        <v>4</v>
      </c>
      <c r="I1815" s="522">
        <f>SUM(I1812:I1814)</f>
        <v>600</v>
      </c>
      <c r="J1815" s="217">
        <f>SUM(J1812:J1814)</f>
        <v>1800</v>
      </c>
    </row>
    <row r="1817" spans="4:10" ht="15.75" thickBot="1"/>
    <row r="1818" spans="4:10">
      <c r="D1818" s="658" t="s">
        <v>409</v>
      </c>
      <c r="E1818" s="659"/>
      <c r="F1818" s="659"/>
      <c r="G1818" s="659"/>
      <c r="H1818" s="659"/>
      <c r="I1818" s="659"/>
      <c r="J1818" s="660"/>
    </row>
    <row r="1819" spans="4:10" ht="15.75" thickBot="1">
      <c r="D1819" s="661"/>
      <c r="E1819" s="662"/>
      <c r="F1819" s="662"/>
      <c r="G1819" s="662"/>
      <c r="H1819" s="662"/>
      <c r="I1819" s="662"/>
      <c r="J1819" s="663"/>
    </row>
    <row r="1822" spans="4:10" ht="30" customHeight="1">
      <c r="D1822" s="681" t="s">
        <v>0</v>
      </c>
      <c r="E1822" s="683"/>
      <c r="F1822" s="682"/>
      <c r="H1822" s="681" t="s">
        <v>0</v>
      </c>
      <c r="I1822" s="683"/>
      <c r="J1822" s="682"/>
    </row>
    <row r="1823" spans="4:10">
      <c r="D1823" s="522" t="s">
        <v>1</v>
      </c>
      <c r="E1823" s="223">
        <v>46113</v>
      </c>
      <c r="F1823" s="523" t="s">
        <v>184</v>
      </c>
      <c r="H1823" s="522" t="s">
        <v>1</v>
      </c>
      <c r="I1823" s="223">
        <v>46118</v>
      </c>
      <c r="J1823" s="523" t="s">
        <v>184</v>
      </c>
    </row>
    <row r="1824" spans="4:10">
      <c r="D1824" s="522" t="s">
        <v>2</v>
      </c>
      <c r="E1824" s="522" t="s">
        <v>3</v>
      </c>
      <c r="F1824" s="521"/>
      <c r="H1824" s="522" t="s">
        <v>2</v>
      </c>
      <c r="I1824" s="522" t="s">
        <v>3</v>
      </c>
      <c r="J1824" s="521"/>
    </row>
    <row r="1825" spans="4:10">
      <c r="D1825" s="522" t="s">
        <v>410</v>
      </c>
      <c r="E1825" s="522">
        <v>200</v>
      </c>
      <c r="F1825" s="521">
        <v>600</v>
      </c>
      <c r="H1825" s="217" t="s">
        <v>411</v>
      </c>
      <c r="I1825" s="522">
        <v>400</v>
      </c>
      <c r="J1825" s="521">
        <v>1200</v>
      </c>
    </row>
    <row r="1826" spans="4:10">
      <c r="D1826" s="522" t="s">
        <v>34</v>
      </c>
      <c r="E1826" s="522">
        <v>400</v>
      </c>
      <c r="F1826" s="521">
        <v>1200</v>
      </c>
      <c r="H1826" s="217" t="s">
        <v>407</v>
      </c>
      <c r="I1826" s="522">
        <v>14</v>
      </c>
      <c r="J1826" s="521">
        <v>42</v>
      </c>
    </row>
    <row r="1827" spans="4:10">
      <c r="D1827" s="522" t="s">
        <v>388</v>
      </c>
      <c r="E1827" s="522">
        <v>250</v>
      </c>
      <c r="F1827" s="521">
        <v>750</v>
      </c>
      <c r="H1827" s="522"/>
      <c r="I1827" s="522"/>
      <c r="J1827" s="521"/>
    </row>
    <row r="1828" spans="4:10">
      <c r="D1828" s="217" t="s">
        <v>4</v>
      </c>
      <c r="E1828" s="532">
        <f>SUM(E1825:E1827)</f>
        <v>850</v>
      </c>
      <c r="F1828" s="533">
        <f>SUM(F1825:F1827)</f>
        <v>2550</v>
      </c>
      <c r="H1828" s="217" t="s">
        <v>4</v>
      </c>
      <c r="I1828" s="532">
        <f>SUM(I1825:I1827)</f>
        <v>414</v>
      </c>
      <c r="J1828" s="533">
        <f>SUM(J1825:J1827)</f>
        <v>1242</v>
      </c>
    </row>
    <row r="1831" spans="4:10" ht="30" customHeight="1">
      <c r="D1831" s="681" t="s">
        <v>0</v>
      </c>
      <c r="E1831" s="683"/>
      <c r="F1831" s="682"/>
      <c r="H1831" s="681" t="s">
        <v>0</v>
      </c>
      <c r="I1831" s="683"/>
      <c r="J1831" s="682"/>
    </row>
    <row r="1832" spans="4:10">
      <c r="D1832" s="524" t="s">
        <v>1</v>
      </c>
      <c r="E1832" s="223">
        <v>46119</v>
      </c>
      <c r="F1832" s="523" t="s">
        <v>184</v>
      </c>
      <c r="H1832" s="524" t="s">
        <v>1</v>
      </c>
      <c r="I1832" s="223">
        <v>46120</v>
      </c>
      <c r="J1832" s="523" t="s">
        <v>184</v>
      </c>
    </row>
    <row r="1833" spans="4:10">
      <c r="D1833" s="524" t="s">
        <v>2</v>
      </c>
      <c r="E1833" s="524" t="s">
        <v>3</v>
      </c>
      <c r="F1833" s="523"/>
      <c r="H1833" s="524" t="s">
        <v>2</v>
      </c>
      <c r="I1833" s="524" t="s">
        <v>3</v>
      </c>
      <c r="J1833" s="523"/>
    </row>
    <row r="1834" spans="4:10">
      <c r="D1834" s="217" t="s">
        <v>400</v>
      </c>
      <c r="E1834" s="524">
        <v>40</v>
      </c>
      <c r="F1834" s="523">
        <v>120</v>
      </c>
      <c r="H1834" s="217" t="s">
        <v>400</v>
      </c>
      <c r="I1834" s="524">
        <v>360</v>
      </c>
      <c r="J1834" s="523">
        <v>1080</v>
      </c>
    </row>
    <row r="1835" spans="4:10">
      <c r="D1835" s="217" t="s">
        <v>407</v>
      </c>
      <c r="E1835" s="524">
        <v>387</v>
      </c>
      <c r="F1835" s="523">
        <v>1161</v>
      </c>
      <c r="H1835" s="524" t="s">
        <v>413</v>
      </c>
      <c r="I1835" s="524">
        <v>145</v>
      </c>
      <c r="J1835" s="523">
        <v>435</v>
      </c>
    </row>
    <row r="1836" spans="4:10">
      <c r="D1836" s="524" t="s">
        <v>413</v>
      </c>
      <c r="E1836" s="524">
        <v>255</v>
      </c>
      <c r="F1836" s="523">
        <v>765</v>
      </c>
      <c r="H1836" s="524" t="s">
        <v>367</v>
      </c>
      <c r="I1836" s="524">
        <v>148</v>
      </c>
      <c r="J1836" s="523">
        <v>444</v>
      </c>
    </row>
    <row r="1837" spans="4:10">
      <c r="D1837" s="217" t="s">
        <v>4</v>
      </c>
      <c r="E1837" s="532">
        <f>SUM(E1834:E1836)</f>
        <v>682</v>
      </c>
      <c r="F1837" s="533">
        <f>SUM(F1834:F1836)</f>
        <v>2046</v>
      </c>
      <c r="H1837" s="217" t="s">
        <v>4</v>
      </c>
      <c r="I1837" s="532">
        <f>SUM(I1834:I1836)</f>
        <v>653</v>
      </c>
      <c r="J1837" s="533">
        <f>SUM(J1834:J1836)</f>
        <v>1959</v>
      </c>
    </row>
    <row r="1840" spans="4:10" ht="30" customHeight="1">
      <c r="D1840" s="681" t="s">
        <v>0</v>
      </c>
      <c r="E1840" s="683"/>
      <c r="F1840" s="682"/>
      <c r="H1840" s="681" t="s">
        <v>0</v>
      </c>
      <c r="I1840" s="683"/>
      <c r="J1840" s="682"/>
    </row>
    <row r="1841" spans="4:10">
      <c r="D1841" s="524" t="s">
        <v>1</v>
      </c>
      <c r="E1841" s="223">
        <v>46121</v>
      </c>
      <c r="F1841" s="523" t="s">
        <v>184</v>
      </c>
      <c r="H1841" s="524" t="s">
        <v>1</v>
      </c>
      <c r="I1841" s="223">
        <v>46122</v>
      </c>
      <c r="J1841" s="523" t="s">
        <v>184</v>
      </c>
    </row>
    <row r="1842" spans="4:10">
      <c r="D1842" s="524" t="s">
        <v>2</v>
      </c>
      <c r="E1842" s="524" t="s">
        <v>3</v>
      </c>
      <c r="F1842" s="523"/>
      <c r="H1842" s="524" t="s">
        <v>2</v>
      </c>
      <c r="I1842" s="524" t="s">
        <v>3</v>
      </c>
      <c r="J1842" s="523"/>
    </row>
    <row r="1843" spans="4:10">
      <c r="D1843" s="524" t="s">
        <v>367</v>
      </c>
      <c r="E1843" s="524">
        <v>252</v>
      </c>
      <c r="F1843" s="523">
        <v>756</v>
      </c>
      <c r="H1843" s="531" t="s">
        <v>226</v>
      </c>
      <c r="I1843" s="524">
        <v>749</v>
      </c>
      <c r="J1843" s="523">
        <v>4494</v>
      </c>
    </row>
    <row r="1844" spans="4:10">
      <c r="D1844" s="217" t="s">
        <v>331</v>
      </c>
      <c r="E1844" s="524">
        <v>101</v>
      </c>
      <c r="F1844" s="523">
        <v>303</v>
      </c>
      <c r="H1844" s="217" t="s">
        <v>205</v>
      </c>
      <c r="I1844" s="524">
        <v>864</v>
      </c>
      <c r="J1844" s="523">
        <v>5184</v>
      </c>
    </row>
    <row r="1845" spans="4:10">
      <c r="D1845" s="530" t="s">
        <v>414</v>
      </c>
      <c r="E1845" s="524">
        <v>21</v>
      </c>
      <c r="F1845" s="523">
        <v>63</v>
      </c>
      <c r="H1845" s="530"/>
      <c r="I1845" s="524"/>
      <c r="J1845" s="523"/>
    </row>
    <row r="1846" spans="4:10">
      <c r="D1846" s="531" t="s">
        <v>226</v>
      </c>
      <c r="E1846" s="524">
        <v>91</v>
      </c>
      <c r="F1846" s="523">
        <v>546</v>
      </c>
      <c r="H1846" s="257"/>
      <c r="I1846" s="524"/>
      <c r="J1846" s="523"/>
    </row>
    <row r="1847" spans="4:10">
      <c r="D1847" s="217" t="s">
        <v>4</v>
      </c>
      <c r="E1847" s="532">
        <f>SUM(E1843:E1846)</f>
        <v>465</v>
      </c>
      <c r="F1847" s="533">
        <f>SUM(F1843:F1846)</f>
        <v>1668</v>
      </c>
      <c r="H1847" s="217" t="s">
        <v>4</v>
      </c>
      <c r="I1847" s="532">
        <f>SUM(I1843:I1846)</f>
        <v>1613</v>
      </c>
      <c r="J1847" s="533">
        <f>SUM(J1843:J1846)</f>
        <v>9678</v>
      </c>
    </row>
    <row r="1850" spans="4:10" ht="30" customHeight="1">
      <c r="D1850" s="681" t="s">
        <v>0</v>
      </c>
      <c r="E1850" s="683"/>
      <c r="F1850" s="682"/>
      <c r="H1850" s="681" t="s">
        <v>0</v>
      </c>
      <c r="I1850" s="683"/>
      <c r="J1850" s="682"/>
    </row>
    <row r="1851" spans="4:10">
      <c r="D1851" s="524" t="s">
        <v>1</v>
      </c>
      <c r="E1851" s="223">
        <v>46123</v>
      </c>
      <c r="F1851" s="523" t="s">
        <v>184</v>
      </c>
      <c r="H1851" s="524" t="s">
        <v>1</v>
      </c>
      <c r="I1851" s="223">
        <v>46126</v>
      </c>
      <c r="J1851" s="523" t="s">
        <v>184</v>
      </c>
    </row>
    <row r="1852" spans="4:10">
      <c r="D1852" s="524" t="s">
        <v>2</v>
      </c>
      <c r="E1852" s="524" t="s">
        <v>3</v>
      </c>
      <c r="F1852" s="523"/>
      <c r="H1852" s="524" t="s">
        <v>2</v>
      </c>
      <c r="I1852" s="524" t="s">
        <v>3</v>
      </c>
      <c r="J1852" s="523"/>
    </row>
    <row r="1853" spans="4:10">
      <c r="D1853" s="217" t="s">
        <v>331</v>
      </c>
      <c r="E1853" s="524">
        <v>300</v>
      </c>
      <c r="F1853" s="523">
        <v>900</v>
      </c>
      <c r="H1853" s="217" t="s">
        <v>252</v>
      </c>
      <c r="I1853" s="524">
        <v>800</v>
      </c>
      <c r="J1853" s="523">
        <v>2400</v>
      </c>
    </row>
    <row r="1854" spans="4:10">
      <c r="D1854" s="217" t="s">
        <v>251</v>
      </c>
      <c r="E1854" s="524">
        <v>800</v>
      </c>
      <c r="F1854" s="523">
        <v>2400</v>
      </c>
      <c r="H1854" s="217"/>
      <c r="I1854" s="524"/>
      <c r="J1854" s="523"/>
    </row>
    <row r="1855" spans="4:10">
      <c r="D1855" s="530"/>
      <c r="E1855" s="524"/>
      <c r="F1855" s="523"/>
      <c r="H1855" s="530"/>
      <c r="I1855" s="524"/>
      <c r="J1855" s="523"/>
    </row>
    <row r="1856" spans="4:10">
      <c r="D1856" s="257"/>
      <c r="E1856" s="524"/>
      <c r="F1856" s="523"/>
      <c r="H1856" s="257"/>
      <c r="I1856" s="524"/>
      <c r="J1856" s="523"/>
    </row>
    <row r="1857" spans="4:10">
      <c r="D1857" s="217" t="s">
        <v>4</v>
      </c>
      <c r="E1857" s="532">
        <f>SUM(E1853:E1856)</f>
        <v>1100</v>
      </c>
      <c r="F1857" s="533">
        <f>SUM(F1853:F1856)</f>
        <v>3300</v>
      </c>
      <c r="H1857" s="217" t="s">
        <v>4</v>
      </c>
      <c r="I1857" s="532">
        <f>SUM(I1853:I1856)</f>
        <v>800</v>
      </c>
      <c r="J1857" s="533">
        <f>SUM(J1853:J1856)</f>
        <v>2400</v>
      </c>
    </row>
    <row r="1860" spans="4:10">
      <c r="D1860" s="681" t="s">
        <v>0</v>
      </c>
      <c r="E1860" s="683"/>
      <c r="F1860" s="682"/>
      <c r="H1860" s="681" t="s">
        <v>0</v>
      </c>
      <c r="I1860" s="683"/>
      <c r="J1860" s="682"/>
    </row>
    <row r="1861" spans="4:10">
      <c r="D1861" s="524" t="s">
        <v>1</v>
      </c>
      <c r="E1861" s="223">
        <v>46127</v>
      </c>
      <c r="F1861" s="523" t="s">
        <v>184</v>
      </c>
      <c r="H1861" s="524" t="s">
        <v>1</v>
      </c>
      <c r="I1861" s="223">
        <v>46128</v>
      </c>
      <c r="J1861" s="523" t="s">
        <v>184</v>
      </c>
    </row>
    <row r="1862" spans="4:10">
      <c r="D1862" s="524" t="s">
        <v>2</v>
      </c>
      <c r="E1862" s="524" t="s">
        <v>3</v>
      </c>
      <c r="F1862" s="523"/>
      <c r="H1862" s="524" t="s">
        <v>2</v>
      </c>
      <c r="I1862" s="524" t="s">
        <v>3</v>
      </c>
      <c r="J1862" s="523"/>
    </row>
    <row r="1863" spans="4:10">
      <c r="D1863" s="217" t="s">
        <v>414</v>
      </c>
      <c r="E1863" s="524">
        <v>12</v>
      </c>
      <c r="F1863" s="523">
        <v>36</v>
      </c>
      <c r="H1863" s="217" t="s">
        <v>369</v>
      </c>
      <c r="I1863" s="524">
        <v>255</v>
      </c>
      <c r="J1863" s="523">
        <v>765</v>
      </c>
    </row>
    <row r="1864" spans="4:10">
      <c r="D1864" s="217" t="s">
        <v>416</v>
      </c>
      <c r="E1864" s="524">
        <v>400</v>
      </c>
      <c r="F1864" s="523">
        <v>1200</v>
      </c>
      <c r="H1864" s="217" t="s">
        <v>34</v>
      </c>
      <c r="I1864" s="524">
        <v>420</v>
      </c>
      <c r="J1864" s="523">
        <v>1260</v>
      </c>
    </row>
    <row r="1865" spans="4:10">
      <c r="D1865" s="217" t="s">
        <v>417</v>
      </c>
      <c r="E1865" s="524">
        <v>145</v>
      </c>
      <c r="F1865" s="523">
        <v>435</v>
      </c>
      <c r="H1865" s="530"/>
      <c r="I1865" s="524"/>
      <c r="J1865" s="523"/>
    </row>
    <row r="1866" spans="4:10">
      <c r="D1866" s="217"/>
      <c r="E1866" s="534"/>
      <c r="F1866" s="523"/>
      <c r="H1866" s="257"/>
      <c r="I1866" s="524"/>
      <c r="J1866" s="523"/>
    </row>
    <row r="1867" spans="4:10">
      <c r="D1867" s="217" t="s">
        <v>4</v>
      </c>
      <c r="E1867" s="532">
        <f>SUM(E1863:E1866)</f>
        <v>557</v>
      </c>
      <c r="F1867" s="533">
        <f>SUM(F1863:F1866)</f>
        <v>1671</v>
      </c>
      <c r="H1867" s="217" t="s">
        <v>4</v>
      </c>
      <c r="I1867" s="532">
        <f>SUM(I1863:I1866)</f>
        <v>675</v>
      </c>
      <c r="J1867" s="533">
        <f>SUM(J1863:J1866)</f>
        <v>2025</v>
      </c>
    </row>
    <row r="1870" spans="4:10">
      <c r="D1870" s="681" t="s">
        <v>0</v>
      </c>
      <c r="E1870" s="683"/>
      <c r="F1870" s="682"/>
      <c r="H1870" s="681" t="s">
        <v>0</v>
      </c>
      <c r="I1870" s="683"/>
      <c r="J1870" s="682"/>
    </row>
    <row r="1871" spans="4:10">
      <c r="D1871" s="524" t="s">
        <v>1</v>
      </c>
      <c r="E1871" s="223">
        <v>46129</v>
      </c>
      <c r="F1871" s="523" t="s">
        <v>184</v>
      </c>
      <c r="H1871" s="524" t="s">
        <v>1</v>
      </c>
      <c r="I1871" s="223">
        <v>46130</v>
      </c>
      <c r="J1871" s="523" t="s">
        <v>184</v>
      </c>
    </row>
    <row r="1872" spans="4:10">
      <c r="D1872" s="524" t="s">
        <v>2</v>
      </c>
      <c r="E1872" s="524" t="s">
        <v>3</v>
      </c>
      <c r="F1872" s="523"/>
      <c r="H1872" s="524" t="s">
        <v>2</v>
      </c>
      <c r="I1872" s="524" t="s">
        <v>3</v>
      </c>
      <c r="J1872" s="523"/>
    </row>
    <row r="1873" spans="4:11">
      <c r="D1873" s="217" t="s">
        <v>34</v>
      </c>
      <c r="E1873" s="524">
        <v>380</v>
      </c>
      <c r="F1873" s="523">
        <v>1140</v>
      </c>
      <c r="H1873" s="531" t="s">
        <v>323</v>
      </c>
      <c r="I1873" s="524">
        <v>318</v>
      </c>
      <c r="J1873" s="523">
        <v>954</v>
      </c>
    </row>
    <row r="1874" spans="4:11">
      <c r="D1874" s="535" t="s">
        <v>367</v>
      </c>
      <c r="E1874" s="524">
        <v>482</v>
      </c>
      <c r="F1874" s="523">
        <v>1446</v>
      </c>
      <c r="H1874" s="217" t="s">
        <v>331</v>
      </c>
      <c r="I1874" s="524">
        <v>112</v>
      </c>
      <c r="J1874" s="523">
        <v>336</v>
      </c>
    </row>
    <row r="1875" spans="4:11">
      <c r="D1875" s="530"/>
      <c r="E1875" s="524">
        <v>1369</v>
      </c>
      <c r="F1875" s="523"/>
      <c r="H1875" s="530"/>
      <c r="I1875" s="524"/>
      <c r="J1875" s="523"/>
    </row>
    <row r="1876" spans="4:11">
      <c r="D1876" s="257"/>
      <c r="E1876" s="524"/>
      <c r="F1876" s="523"/>
      <c r="H1876" s="257"/>
      <c r="I1876" s="524"/>
      <c r="J1876" s="523"/>
    </row>
    <row r="1877" spans="4:11">
      <c r="D1877" s="217" t="s">
        <v>4</v>
      </c>
      <c r="E1877" s="532">
        <f>SUM(E1873:E1876)</f>
        <v>2231</v>
      </c>
      <c r="F1877" s="533">
        <f>SUM(F1873:F1876)</f>
        <v>2586</v>
      </c>
      <c r="H1877" s="217" t="s">
        <v>4</v>
      </c>
      <c r="I1877" s="532">
        <f>SUM(I1873:I1876)</f>
        <v>430</v>
      </c>
      <c r="J1877" s="533">
        <f>SUM(J1873:J1876)</f>
        <v>1290</v>
      </c>
    </row>
    <row r="1880" spans="4:11">
      <c r="D1880" s="681" t="s">
        <v>0</v>
      </c>
      <c r="E1880" s="683"/>
      <c r="F1880" s="682"/>
      <c r="H1880" s="681" t="s">
        <v>0</v>
      </c>
      <c r="I1880" s="683"/>
      <c r="J1880" s="682"/>
    </row>
    <row r="1881" spans="4:11">
      <c r="D1881" s="524" t="s">
        <v>1</v>
      </c>
      <c r="E1881" s="223">
        <v>46133</v>
      </c>
      <c r="F1881" s="523" t="s">
        <v>184</v>
      </c>
      <c r="H1881" s="529" t="s">
        <v>1</v>
      </c>
      <c r="I1881" s="223">
        <v>46134</v>
      </c>
      <c r="J1881" s="528" t="s">
        <v>184</v>
      </c>
    </row>
    <row r="1882" spans="4:11">
      <c r="D1882" s="524" t="s">
        <v>2</v>
      </c>
      <c r="E1882" s="524" t="s">
        <v>3</v>
      </c>
      <c r="F1882" s="523"/>
      <c r="H1882" s="529" t="s">
        <v>2</v>
      </c>
      <c r="I1882" s="529" t="s">
        <v>3</v>
      </c>
      <c r="J1882" s="528"/>
    </row>
    <row r="1883" spans="4:11">
      <c r="D1883" s="217" t="s">
        <v>331</v>
      </c>
      <c r="E1883" s="524">
        <v>477</v>
      </c>
      <c r="F1883" s="523">
        <v>1431</v>
      </c>
      <c r="H1883" s="217" t="s">
        <v>331</v>
      </c>
      <c r="I1883" s="529">
        <v>211</v>
      </c>
      <c r="J1883" s="528">
        <v>633</v>
      </c>
      <c r="K1883" t="s">
        <v>415</v>
      </c>
    </row>
    <row r="1884" spans="4:11">
      <c r="D1884" s="257"/>
      <c r="E1884" s="524"/>
      <c r="F1884" s="523"/>
      <c r="H1884" s="217" t="s">
        <v>418</v>
      </c>
      <c r="I1884" s="529">
        <v>500</v>
      </c>
      <c r="J1884" s="528">
        <v>1500</v>
      </c>
    </row>
    <row r="1885" spans="4:11">
      <c r="D1885" s="530"/>
      <c r="E1885" s="524"/>
      <c r="F1885" s="523"/>
      <c r="H1885" s="530"/>
      <c r="I1885" s="529"/>
      <c r="J1885" s="528"/>
    </row>
    <row r="1886" spans="4:11">
      <c r="D1886" s="257"/>
      <c r="E1886" s="524"/>
      <c r="F1886" s="523"/>
      <c r="H1886" s="257"/>
      <c r="I1886" s="534"/>
      <c r="J1886" s="538"/>
    </row>
    <row r="1887" spans="4:11">
      <c r="D1887" s="217" t="s">
        <v>4</v>
      </c>
      <c r="E1887" s="532">
        <f>SUM(E1883:E1886)</f>
        <v>477</v>
      </c>
      <c r="F1887" s="533">
        <f>SUM(F1883:F1886)</f>
        <v>1431</v>
      </c>
      <c r="H1887" s="217" t="s">
        <v>4</v>
      </c>
      <c r="I1887" s="532">
        <f>SUM(I1883:I1886)</f>
        <v>711</v>
      </c>
      <c r="J1887" s="533">
        <f>SUM(J1883:J1886)</f>
        <v>2133</v>
      </c>
    </row>
    <row r="1890" spans="4:10">
      <c r="D1890" s="681" t="s">
        <v>0</v>
      </c>
      <c r="E1890" s="683"/>
      <c r="F1890" s="682"/>
      <c r="H1890" s="681" t="s">
        <v>0</v>
      </c>
      <c r="I1890" s="683"/>
      <c r="J1890" s="682"/>
    </row>
    <row r="1891" spans="4:10">
      <c r="D1891" s="529" t="s">
        <v>1</v>
      </c>
      <c r="E1891" s="223">
        <v>46135</v>
      </c>
      <c r="F1891" s="528" t="s">
        <v>184</v>
      </c>
      <c r="H1891" s="537" t="s">
        <v>1</v>
      </c>
      <c r="I1891" s="223">
        <v>46136</v>
      </c>
      <c r="J1891" s="536" t="s">
        <v>184</v>
      </c>
    </row>
    <row r="1892" spans="4:10">
      <c r="D1892" s="529" t="s">
        <v>2</v>
      </c>
      <c r="E1892" s="529" t="s">
        <v>3</v>
      </c>
      <c r="F1892" s="528"/>
      <c r="H1892" s="537" t="s">
        <v>2</v>
      </c>
      <c r="I1892" s="537" t="s">
        <v>3</v>
      </c>
      <c r="J1892" s="536"/>
    </row>
    <row r="1893" spans="4:10">
      <c r="D1893" s="217" t="s">
        <v>418</v>
      </c>
      <c r="E1893" s="529">
        <v>300</v>
      </c>
      <c r="F1893" s="528">
        <v>900</v>
      </c>
      <c r="H1893" s="217" t="s">
        <v>420</v>
      </c>
      <c r="I1893" s="537">
        <v>400</v>
      </c>
      <c r="J1893" s="536">
        <v>1200</v>
      </c>
    </row>
    <row r="1894" spans="4:10">
      <c r="D1894" s="217" t="s">
        <v>419</v>
      </c>
      <c r="E1894" s="529">
        <v>521</v>
      </c>
      <c r="F1894" s="528">
        <v>1563</v>
      </c>
      <c r="H1894" s="217" t="s">
        <v>419</v>
      </c>
      <c r="I1894" s="537">
        <v>327</v>
      </c>
      <c r="J1894" s="536">
        <v>981</v>
      </c>
    </row>
    <row r="1895" spans="4:10">
      <c r="D1895" s="530"/>
      <c r="E1895" s="529"/>
      <c r="F1895" s="528"/>
      <c r="H1895" s="217" t="s">
        <v>421</v>
      </c>
      <c r="I1895" s="537">
        <v>191</v>
      </c>
      <c r="J1895" s="536">
        <v>573</v>
      </c>
    </row>
    <row r="1896" spans="4:10">
      <c r="D1896" s="257"/>
      <c r="E1896" s="534"/>
      <c r="F1896" s="538"/>
      <c r="H1896" s="257"/>
      <c r="I1896" s="534"/>
      <c r="J1896" s="538"/>
    </row>
    <row r="1897" spans="4:10">
      <c r="D1897" s="217" t="s">
        <v>4</v>
      </c>
      <c r="E1897" s="532">
        <f>SUM(E1893:E1896)</f>
        <v>821</v>
      </c>
      <c r="F1897" s="533">
        <f>SUM(F1893:F1896)</f>
        <v>2463</v>
      </c>
      <c r="H1897" s="217" t="s">
        <v>4</v>
      </c>
      <c r="I1897" s="532">
        <f>SUM(I1893:I1896)</f>
        <v>918</v>
      </c>
      <c r="J1897" s="533">
        <f>SUM(J1893:J1896)</f>
        <v>2754</v>
      </c>
    </row>
    <row r="1900" spans="4:10">
      <c r="D1900" s="681" t="s">
        <v>0</v>
      </c>
      <c r="E1900" s="683"/>
      <c r="F1900" s="682"/>
      <c r="H1900" s="681" t="s">
        <v>0</v>
      </c>
      <c r="I1900" s="683"/>
      <c r="J1900" s="682"/>
    </row>
    <row r="1901" spans="4:10">
      <c r="D1901" s="537" t="s">
        <v>1</v>
      </c>
      <c r="E1901" s="223">
        <v>46139</v>
      </c>
      <c r="F1901" s="536" t="s">
        <v>184</v>
      </c>
      <c r="H1901" s="541" t="s">
        <v>1</v>
      </c>
      <c r="I1901" s="223">
        <v>46140</v>
      </c>
      <c r="J1901" s="539" t="s">
        <v>184</v>
      </c>
    </row>
    <row r="1902" spans="4:10">
      <c r="D1902" s="537" t="s">
        <v>2</v>
      </c>
      <c r="E1902" s="537" t="s">
        <v>3</v>
      </c>
      <c r="F1902" s="536"/>
      <c r="H1902" s="541" t="s">
        <v>2</v>
      </c>
      <c r="I1902" s="541" t="s">
        <v>3</v>
      </c>
      <c r="J1902" s="539"/>
    </row>
    <row r="1903" spans="4:10">
      <c r="D1903" s="217" t="s">
        <v>421</v>
      </c>
      <c r="E1903" s="537">
        <v>209</v>
      </c>
      <c r="F1903" s="536">
        <v>627</v>
      </c>
      <c r="H1903" s="531" t="s">
        <v>226</v>
      </c>
      <c r="I1903" s="541">
        <v>800</v>
      </c>
      <c r="J1903" s="539">
        <v>4000</v>
      </c>
    </row>
    <row r="1904" spans="4:10">
      <c r="D1904" s="217" t="s">
        <v>5</v>
      </c>
      <c r="E1904" s="537">
        <v>400</v>
      </c>
      <c r="F1904" s="536">
        <v>1200</v>
      </c>
      <c r="H1904" s="217" t="s">
        <v>205</v>
      </c>
      <c r="I1904" s="541">
        <v>810</v>
      </c>
      <c r="J1904" s="539">
        <v>4050</v>
      </c>
    </row>
    <row r="1905" spans="4:10">
      <c r="D1905" s="257"/>
      <c r="E1905" s="537"/>
      <c r="F1905" s="536"/>
      <c r="H1905" s="257"/>
      <c r="I1905" s="541"/>
      <c r="J1905" s="539"/>
    </row>
    <row r="1906" spans="4:10">
      <c r="D1906" s="257"/>
      <c r="E1906" s="534"/>
      <c r="F1906" s="538"/>
      <c r="H1906" s="257"/>
      <c r="I1906" s="534"/>
      <c r="J1906" s="538"/>
    </row>
    <row r="1907" spans="4:10">
      <c r="D1907" s="217" t="s">
        <v>4</v>
      </c>
      <c r="E1907" s="532">
        <f>SUM(E1903:E1906)</f>
        <v>609</v>
      </c>
      <c r="F1907" s="533">
        <f>SUM(F1903:F1906)</f>
        <v>1827</v>
      </c>
      <c r="H1907" s="217" t="s">
        <v>4</v>
      </c>
      <c r="I1907" s="532">
        <f>SUM(I1903:I1906)</f>
        <v>1610</v>
      </c>
      <c r="J1907" s="533">
        <f>SUM(J1903:J1906)</f>
        <v>8050</v>
      </c>
    </row>
    <row r="1910" spans="4:10">
      <c r="D1910" s="681" t="s">
        <v>0</v>
      </c>
      <c r="E1910" s="683"/>
      <c r="F1910" s="682"/>
      <c r="H1910" s="681" t="s">
        <v>0</v>
      </c>
      <c r="I1910" s="683"/>
      <c r="J1910" s="682"/>
    </row>
    <row r="1911" spans="4:10">
      <c r="D1911" s="541" t="s">
        <v>1</v>
      </c>
      <c r="E1911" s="223">
        <v>46141</v>
      </c>
      <c r="F1911" s="539" t="s">
        <v>184</v>
      </c>
      <c r="H1911" s="541" t="s">
        <v>1</v>
      </c>
      <c r="I1911" s="223">
        <v>46142</v>
      </c>
      <c r="J1911" s="539" t="s">
        <v>184</v>
      </c>
    </row>
    <row r="1912" spans="4:10">
      <c r="D1912" s="541" t="s">
        <v>2</v>
      </c>
      <c r="E1912" s="541" t="s">
        <v>3</v>
      </c>
      <c r="F1912" s="539"/>
      <c r="H1912" s="541" t="s">
        <v>2</v>
      </c>
      <c r="I1912" s="541" t="s">
        <v>3</v>
      </c>
      <c r="J1912" s="539"/>
    </row>
    <row r="1913" spans="4:10">
      <c r="D1913" s="531" t="s">
        <v>422</v>
      </c>
      <c r="E1913" s="541">
        <v>490</v>
      </c>
      <c r="F1913" s="539">
        <v>2940</v>
      </c>
      <c r="H1913" s="217" t="s">
        <v>25</v>
      </c>
      <c r="I1913" s="541">
        <v>263</v>
      </c>
      <c r="J1913" s="539">
        <v>1578</v>
      </c>
    </row>
    <row r="1914" spans="4:10">
      <c r="D1914" s="217" t="s">
        <v>25</v>
      </c>
      <c r="E1914" s="541">
        <v>688</v>
      </c>
      <c r="F1914" s="539">
        <v>4128</v>
      </c>
      <c r="H1914" s="541" t="s">
        <v>413</v>
      </c>
      <c r="I1914" s="541">
        <v>400</v>
      </c>
      <c r="J1914" s="539">
        <v>1200</v>
      </c>
    </row>
    <row r="1915" spans="4:10">
      <c r="D1915" s="257"/>
      <c r="E1915" s="541"/>
      <c r="F1915" s="539"/>
      <c r="H1915" s="217" t="s">
        <v>421</v>
      </c>
      <c r="I1915" s="541">
        <v>30</v>
      </c>
      <c r="J1915" s="539">
        <v>90</v>
      </c>
    </row>
    <row r="1916" spans="4:10">
      <c r="D1916" s="257"/>
      <c r="E1916" s="534"/>
      <c r="F1916" s="538"/>
      <c r="H1916" s="257"/>
      <c r="I1916" s="534"/>
      <c r="J1916" s="538"/>
    </row>
    <row r="1917" spans="4:10">
      <c r="D1917" s="217" t="s">
        <v>4</v>
      </c>
      <c r="E1917" s="532">
        <f>SUM(E1913:E1916)</f>
        <v>1178</v>
      </c>
      <c r="F1917" s="533">
        <f>SUM(F1913:F1916)</f>
        <v>7068</v>
      </c>
      <c r="H1917" s="217" t="s">
        <v>4</v>
      </c>
      <c r="I1917" s="532">
        <f>SUM(I1913:I1916)</f>
        <v>693</v>
      </c>
      <c r="J1917" s="533">
        <f>SUM(J1913:J1916)</f>
        <v>2868</v>
      </c>
    </row>
    <row r="1919" spans="4:10" ht="15.75" thickBot="1"/>
    <row r="1920" spans="4:10">
      <c r="D1920" s="658" t="s">
        <v>423</v>
      </c>
      <c r="E1920" s="659"/>
      <c r="F1920" s="659"/>
      <c r="G1920" s="659"/>
      <c r="H1920" s="659"/>
      <c r="I1920" s="659"/>
      <c r="J1920" s="660"/>
    </row>
    <row r="1921" spans="4:10" ht="15.75" thickBot="1">
      <c r="D1921" s="661"/>
      <c r="E1921" s="662"/>
      <c r="F1921" s="662"/>
      <c r="G1921" s="662"/>
      <c r="H1921" s="662"/>
      <c r="I1921" s="662"/>
      <c r="J1921" s="663"/>
    </row>
    <row r="1923" spans="4:10" ht="15.75" thickBot="1"/>
    <row r="1924" spans="4:10" ht="15.75" thickBot="1">
      <c r="D1924" s="684" t="s">
        <v>0</v>
      </c>
      <c r="E1924" s="685"/>
      <c r="F1924" s="686"/>
      <c r="H1924" s="684" t="s">
        <v>0</v>
      </c>
      <c r="I1924" s="685"/>
      <c r="J1924" s="686"/>
    </row>
    <row r="1925" spans="4:10">
      <c r="D1925" s="540" t="s">
        <v>1</v>
      </c>
      <c r="E1925" s="543">
        <v>46146</v>
      </c>
      <c r="F1925" s="656" t="s">
        <v>184</v>
      </c>
      <c r="H1925" s="540" t="s">
        <v>1</v>
      </c>
      <c r="I1925" s="543">
        <v>46147</v>
      </c>
      <c r="J1925" s="656" t="s">
        <v>184</v>
      </c>
    </row>
    <row r="1926" spans="4:10">
      <c r="D1926" s="541" t="s">
        <v>2</v>
      </c>
      <c r="E1926" s="541" t="s">
        <v>3</v>
      </c>
      <c r="F1926" s="657"/>
      <c r="H1926" s="541" t="s">
        <v>2</v>
      </c>
      <c r="I1926" s="541" t="s">
        <v>3</v>
      </c>
      <c r="J1926" s="657"/>
    </row>
    <row r="1927" spans="4:10">
      <c r="D1927" s="217" t="s">
        <v>400</v>
      </c>
      <c r="E1927" s="541">
        <v>370</v>
      </c>
      <c r="F1927" s="539">
        <v>1110</v>
      </c>
      <c r="H1927" s="217" t="s">
        <v>425</v>
      </c>
      <c r="I1927" s="541">
        <v>27</v>
      </c>
      <c r="J1927" s="539">
        <v>81</v>
      </c>
    </row>
    <row r="1928" spans="4:10">
      <c r="D1928" s="541" t="s">
        <v>424</v>
      </c>
      <c r="E1928" s="541">
        <v>234</v>
      </c>
      <c r="F1928" s="539">
        <v>702</v>
      </c>
      <c r="H1928" s="541" t="s">
        <v>6</v>
      </c>
      <c r="I1928" s="541">
        <v>503</v>
      </c>
      <c r="J1928" s="539">
        <v>1509</v>
      </c>
    </row>
    <row r="1929" spans="4:10">
      <c r="D1929" s="217"/>
      <c r="E1929" s="541"/>
      <c r="F1929" s="539"/>
      <c r="H1929" s="217"/>
      <c r="I1929" s="541"/>
      <c r="J1929" s="539"/>
    </row>
    <row r="1930" spans="4:10">
      <c r="D1930" s="257"/>
      <c r="E1930" s="534"/>
      <c r="F1930" s="538"/>
      <c r="H1930" s="257"/>
      <c r="I1930" s="534"/>
      <c r="J1930" s="538"/>
    </row>
    <row r="1931" spans="4:10">
      <c r="D1931" s="371" t="s">
        <v>4</v>
      </c>
      <c r="E1931" s="532">
        <f>SUM(E1927:E1930)</f>
        <v>604</v>
      </c>
      <c r="F1931" s="533">
        <f>SUM(F1927:F1930)</f>
        <v>1812</v>
      </c>
      <c r="H1931" s="371" t="s">
        <v>4</v>
      </c>
      <c r="I1931" s="532">
        <f>SUM(I1927:I1930)</f>
        <v>530</v>
      </c>
      <c r="J1931" s="533">
        <f>SUM(J1927:J1930)</f>
        <v>1590</v>
      </c>
    </row>
    <row r="1933" spans="4:10" ht="15.75" thickBot="1"/>
    <row r="1934" spans="4:10" ht="15.75" thickBot="1">
      <c r="D1934" s="684" t="s">
        <v>0</v>
      </c>
      <c r="E1934" s="685"/>
      <c r="F1934" s="686"/>
      <c r="H1934" s="684" t="s">
        <v>0</v>
      </c>
      <c r="I1934" s="685"/>
      <c r="J1934" s="686"/>
    </row>
    <row r="1935" spans="4:10">
      <c r="D1935" s="540" t="s">
        <v>1</v>
      </c>
      <c r="E1935" s="543">
        <v>46148</v>
      </c>
      <c r="F1935" s="656" t="s">
        <v>184</v>
      </c>
      <c r="H1935" s="540" t="s">
        <v>1</v>
      </c>
      <c r="I1935" s="543">
        <v>46149</v>
      </c>
      <c r="J1935" s="656" t="s">
        <v>184</v>
      </c>
    </row>
    <row r="1936" spans="4:10">
      <c r="D1936" s="541" t="s">
        <v>2</v>
      </c>
      <c r="E1936" s="541" t="s">
        <v>3</v>
      </c>
      <c r="F1936" s="657"/>
      <c r="H1936" s="541" t="s">
        <v>2</v>
      </c>
      <c r="I1936" s="541" t="s">
        <v>3</v>
      </c>
      <c r="J1936" s="657"/>
    </row>
    <row r="1937" spans="4:11">
      <c r="D1937" s="217" t="s">
        <v>425</v>
      </c>
      <c r="E1937" s="541">
        <v>458</v>
      </c>
      <c r="F1937" s="539">
        <v>1374</v>
      </c>
      <c r="H1937" s="217" t="s">
        <v>427</v>
      </c>
      <c r="I1937" s="541">
        <v>668</v>
      </c>
      <c r="J1937" s="539">
        <v>2004</v>
      </c>
    </row>
    <row r="1938" spans="4:11">
      <c r="D1938" s="541" t="s">
        <v>426</v>
      </c>
      <c r="E1938" s="541">
        <v>331</v>
      </c>
      <c r="F1938" s="539">
        <v>993</v>
      </c>
      <c r="H1938" s="541"/>
      <c r="I1938" s="541"/>
      <c r="J1938" s="539"/>
    </row>
    <row r="1939" spans="4:11">
      <c r="D1939" s="217"/>
      <c r="E1939" s="541"/>
      <c r="F1939" s="539"/>
      <c r="H1939" s="217"/>
      <c r="I1939" s="541"/>
      <c r="J1939" s="539"/>
    </row>
    <row r="1940" spans="4:11">
      <c r="D1940" s="257"/>
      <c r="E1940" s="534"/>
      <c r="F1940" s="538"/>
      <c r="H1940" s="257"/>
      <c r="I1940" s="534"/>
      <c r="J1940" s="538"/>
      <c r="K1940" t="s">
        <v>428</v>
      </c>
    </row>
    <row r="1941" spans="4:11">
      <c r="D1941" s="371" t="s">
        <v>4</v>
      </c>
      <c r="E1941" s="532">
        <f>SUM(E1937:E1940)</f>
        <v>789</v>
      </c>
      <c r="F1941" s="533">
        <f>SUM(F1937:F1940)</f>
        <v>2367</v>
      </c>
      <c r="H1941" s="371" t="s">
        <v>4</v>
      </c>
      <c r="I1941" s="532">
        <f>SUM(I1937:I1940)</f>
        <v>668</v>
      </c>
      <c r="J1941" s="533">
        <f>SUM(J1937:J1940)</f>
        <v>2004</v>
      </c>
    </row>
    <row r="1943" spans="4:11" ht="15.75" thickBot="1"/>
    <row r="1944" spans="4:11" ht="15.75" thickBot="1">
      <c r="D1944" s="684" t="s">
        <v>0</v>
      </c>
      <c r="E1944" s="685"/>
      <c r="F1944" s="686"/>
      <c r="H1944" s="684" t="s">
        <v>0</v>
      </c>
      <c r="I1944" s="685"/>
      <c r="J1944" s="686"/>
    </row>
    <row r="1945" spans="4:11">
      <c r="D1945" s="540" t="s">
        <v>1</v>
      </c>
      <c r="E1945" s="543">
        <v>46150</v>
      </c>
      <c r="F1945" s="656" t="s">
        <v>184</v>
      </c>
      <c r="H1945" s="540" t="s">
        <v>1</v>
      </c>
      <c r="I1945" s="543">
        <v>46153</v>
      </c>
      <c r="J1945" s="656" t="s">
        <v>184</v>
      </c>
    </row>
    <row r="1946" spans="4:11">
      <c r="D1946" s="541" t="s">
        <v>2</v>
      </c>
      <c r="E1946" s="541" t="s">
        <v>3</v>
      </c>
      <c r="F1946" s="657"/>
      <c r="H1946" s="541" t="s">
        <v>2</v>
      </c>
      <c r="I1946" s="541" t="s">
        <v>3</v>
      </c>
      <c r="J1946" s="657"/>
    </row>
    <row r="1947" spans="4:11">
      <c r="D1947" s="217" t="s">
        <v>427</v>
      </c>
      <c r="E1947" s="541">
        <v>166</v>
      </c>
      <c r="F1947" s="539">
        <v>498</v>
      </c>
      <c r="H1947" s="542" t="s">
        <v>416</v>
      </c>
      <c r="I1947" s="541">
        <v>226</v>
      </c>
      <c r="J1947" s="539">
        <v>678</v>
      </c>
    </row>
    <row r="1948" spans="4:11">
      <c r="D1948" s="541" t="s">
        <v>416</v>
      </c>
      <c r="E1948" s="541">
        <v>574</v>
      </c>
      <c r="F1948" s="539">
        <v>1722</v>
      </c>
      <c r="H1948" s="541"/>
      <c r="I1948" s="541"/>
      <c r="J1948" s="539"/>
    </row>
    <row r="1949" spans="4:11">
      <c r="D1949" s="217"/>
      <c r="E1949" s="541"/>
      <c r="F1949" s="539"/>
      <c r="H1949" s="217"/>
      <c r="I1949" s="541"/>
      <c r="J1949" s="539"/>
    </row>
    <row r="1950" spans="4:11">
      <c r="E1950" s="534"/>
      <c r="F1950" s="538"/>
      <c r="H1950" s="257"/>
      <c r="I1950" s="534"/>
      <c r="J1950" s="538"/>
    </row>
    <row r="1951" spans="4:11">
      <c r="D1951" s="371" t="s">
        <v>4</v>
      </c>
      <c r="E1951" s="532">
        <f>SUM(E1947:E1950)</f>
        <v>740</v>
      </c>
      <c r="F1951" s="533">
        <f>SUM(F1947:F1950)</f>
        <v>2220</v>
      </c>
      <c r="H1951" s="371" t="s">
        <v>4</v>
      </c>
      <c r="I1951" s="532">
        <f>SUM(I1947:I1950)</f>
        <v>226</v>
      </c>
      <c r="J1951" s="533">
        <f>SUM(J1947:J1950)</f>
        <v>678</v>
      </c>
    </row>
    <row r="1953" spans="4:10" ht="15.75" thickBot="1"/>
    <row r="1954" spans="4:10" ht="19.5" customHeight="1" thickBot="1">
      <c r="D1954" s="653" t="s">
        <v>0</v>
      </c>
      <c r="E1954" s="654"/>
      <c r="F1954" s="655"/>
      <c r="H1954" s="653" t="s">
        <v>0</v>
      </c>
      <c r="I1954" s="654"/>
      <c r="J1954" s="655"/>
    </row>
    <row r="1955" spans="4:10">
      <c r="D1955" s="545" t="s">
        <v>1</v>
      </c>
      <c r="E1955" s="543">
        <v>46154</v>
      </c>
      <c r="F1955" s="656" t="s">
        <v>184</v>
      </c>
      <c r="H1955" s="545" t="s">
        <v>1</v>
      </c>
      <c r="I1955" s="543">
        <v>46155</v>
      </c>
      <c r="J1955" s="656" t="s">
        <v>184</v>
      </c>
    </row>
    <row r="1956" spans="4:10">
      <c r="D1956" s="546" t="s">
        <v>2</v>
      </c>
      <c r="E1956" s="546" t="s">
        <v>3</v>
      </c>
      <c r="F1956" s="657"/>
      <c r="H1956" s="546" t="s">
        <v>2</v>
      </c>
      <c r="I1956" s="546" t="s">
        <v>3</v>
      </c>
      <c r="J1956" s="657"/>
    </row>
    <row r="1957" spans="4:10">
      <c r="D1957" s="546" t="s">
        <v>252</v>
      </c>
      <c r="E1957" s="546">
        <v>400</v>
      </c>
      <c r="F1957" s="544">
        <v>1200</v>
      </c>
      <c r="H1957" s="546" t="s">
        <v>251</v>
      </c>
      <c r="I1957" s="546">
        <v>400</v>
      </c>
      <c r="J1957" s="544">
        <v>1200</v>
      </c>
    </row>
    <row r="1958" spans="4:10">
      <c r="D1958" s="546" t="s">
        <v>429</v>
      </c>
      <c r="E1958" s="546">
        <v>256</v>
      </c>
      <c r="F1958" s="544">
        <v>768</v>
      </c>
      <c r="H1958" s="546"/>
      <c r="I1958" s="546"/>
      <c r="J1958" s="544"/>
    </row>
    <row r="1959" spans="4:10">
      <c r="D1959" s="217"/>
      <c r="E1959" s="546"/>
      <c r="F1959" s="544"/>
      <c r="H1959" s="217"/>
      <c r="I1959" s="546"/>
      <c r="J1959" s="544"/>
    </row>
    <row r="1960" spans="4:10">
      <c r="D1960" s="257"/>
      <c r="E1960" s="534"/>
      <c r="F1960" s="538"/>
      <c r="H1960" s="257"/>
      <c r="I1960" s="534"/>
      <c r="J1960" s="538"/>
    </row>
    <row r="1961" spans="4:10">
      <c r="D1961" s="371" t="s">
        <v>4</v>
      </c>
      <c r="E1961" s="532">
        <f>SUM(E1957:E1960)</f>
        <v>656</v>
      </c>
      <c r="F1961" s="533">
        <f>SUM(F1957:F1960)</f>
        <v>1968</v>
      </c>
      <c r="H1961" s="371" t="s">
        <v>4</v>
      </c>
      <c r="I1961" s="532">
        <f>SUM(I1957:I1960)</f>
        <v>400</v>
      </c>
      <c r="J1961" s="533">
        <f>SUM(J1957:J1960)</f>
        <v>1200</v>
      </c>
    </row>
    <row r="1963" spans="4:10" ht="15.75" thickBot="1"/>
    <row r="1964" spans="4:10" ht="15.75" customHeight="1" thickBot="1">
      <c r="D1964" s="653" t="s">
        <v>0</v>
      </c>
      <c r="E1964" s="654"/>
      <c r="F1964" s="655"/>
      <c r="H1964" s="653" t="s">
        <v>0</v>
      </c>
      <c r="I1964" s="654"/>
      <c r="J1964" s="655"/>
    </row>
    <row r="1965" spans="4:10">
      <c r="D1965" s="545" t="s">
        <v>1</v>
      </c>
      <c r="E1965" s="543">
        <v>46156</v>
      </c>
      <c r="F1965" s="656" t="s">
        <v>184</v>
      </c>
      <c r="H1965" s="548" t="s">
        <v>1</v>
      </c>
      <c r="I1965" s="543">
        <v>46157</v>
      </c>
      <c r="J1965" s="656" t="s">
        <v>184</v>
      </c>
    </row>
    <row r="1966" spans="4:10">
      <c r="D1966" s="546" t="s">
        <v>2</v>
      </c>
      <c r="E1966" s="546" t="s">
        <v>3</v>
      </c>
      <c r="F1966" s="657"/>
      <c r="H1966" s="549" t="s">
        <v>2</v>
      </c>
      <c r="I1966" s="549" t="s">
        <v>3</v>
      </c>
      <c r="J1966" s="657"/>
    </row>
    <row r="1967" spans="4:10">
      <c r="D1967" s="546" t="s">
        <v>222</v>
      </c>
      <c r="E1967" s="546">
        <v>800</v>
      </c>
      <c r="F1967" s="544">
        <v>2400</v>
      </c>
      <c r="H1967" s="549" t="s">
        <v>430</v>
      </c>
      <c r="I1967" s="549">
        <v>834</v>
      </c>
      <c r="J1967" s="547">
        <v>2500</v>
      </c>
    </row>
    <row r="1968" spans="4:10">
      <c r="D1968" s="546"/>
      <c r="E1968" s="546"/>
      <c r="F1968" s="544"/>
      <c r="H1968" s="549"/>
      <c r="I1968" s="549"/>
      <c r="J1968" s="547"/>
    </row>
    <row r="1969" spans="4:10">
      <c r="D1969" s="217"/>
      <c r="E1969" s="546"/>
      <c r="F1969" s="544"/>
      <c r="H1969" s="217"/>
      <c r="I1969" s="549"/>
      <c r="J1969" s="547"/>
    </row>
    <row r="1970" spans="4:10">
      <c r="D1970" s="257"/>
      <c r="E1970" s="534"/>
      <c r="F1970" s="538"/>
      <c r="H1970" s="257"/>
      <c r="I1970" s="534"/>
      <c r="J1970" s="538"/>
    </row>
    <row r="1971" spans="4:10">
      <c r="D1971" s="371" t="s">
        <v>4</v>
      </c>
      <c r="E1971" s="532">
        <f>SUM(E1967:E1970)</f>
        <v>800</v>
      </c>
      <c r="F1971" s="533">
        <f>SUM(F1967:F1970)</f>
        <v>2400</v>
      </c>
      <c r="H1971" s="371" t="s">
        <v>4</v>
      </c>
      <c r="I1971" s="532">
        <f>SUM(I1967:I1970)</f>
        <v>834</v>
      </c>
      <c r="J1971" s="533">
        <f>SUM(J1967:J1970)</f>
        <v>2500</v>
      </c>
    </row>
    <row r="1973" spans="4:10" ht="15.75" thickBot="1"/>
    <row r="1974" spans="4:10" ht="15.75" thickBot="1">
      <c r="D1974" s="653" t="s">
        <v>0</v>
      </c>
      <c r="E1974" s="654"/>
      <c r="F1974" s="655"/>
      <c r="H1974" s="653" t="s">
        <v>0</v>
      </c>
      <c r="I1974" s="654"/>
      <c r="J1974" s="655"/>
    </row>
    <row r="1975" spans="4:10">
      <c r="D1975" s="548" t="s">
        <v>1</v>
      </c>
      <c r="E1975" s="543">
        <v>46158</v>
      </c>
      <c r="F1975" s="656" t="s">
        <v>184</v>
      </c>
      <c r="H1975" s="548" t="s">
        <v>1</v>
      </c>
      <c r="I1975" s="543">
        <v>46161</v>
      </c>
      <c r="J1975" s="656" t="s">
        <v>184</v>
      </c>
    </row>
    <row r="1976" spans="4:10">
      <c r="D1976" s="549" t="s">
        <v>2</v>
      </c>
      <c r="E1976" s="549" t="s">
        <v>3</v>
      </c>
      <c r="F1976" s="657"/>
      <c r="H1976" s="549" t="s">
        <v>2</v>
      </c>
      <c r="I1976" s="549" t="s">
        <v>3</v>
      </c>
      <c r="J1976" s="657"/>
    </row>
    <row r="1977" spans="4:10">
      <c r="D1977" s="549" t="s">
        <v>431</v>
      </c>
      <c r="E1977" s="549">
        <v>400</v>
      </c>
      <c r="F1977" s="547">
        <v>1200</v>
      </c>
      <c r="H1977" s="549" t="s">
        <v>433</v>
      </c>
      <c r="I1977" s="549">
        <v>1015</v>
      </c>
      <c r="J1977" s="547">
        <v>5075</v>
      </c>
    </row>
    <row r="1978" spans="4:10">
      <c r="D1978" s="549" t="s">
        <v>432</v>
      </c>
      <c r="E1978" s="549">
        <v>318</v>
      </c>
      <c r="F1978" s="547">
        <v>954</v>
      </c>
      <c r="H1978" s="549" t="s">
        <v>434</v>
      </c>
      <c r="I1978" s="549">
        <v>143</v>
      </c>
      <c r="J1978" s="547">
        <v>429</v>
      </c>
    </row>
    <row r="1979" spans="4:10">
      <c r="D1979" s="217"/>
      <c r="E1979" s="549"/>
      <c r="F1979" s="547"/>
      <c r="H1979" s="217"/>
      <c r="I1979" s="549"/>
      <c r="J1979" s="547"/>
    </row>
    <row r="1980" spans="4:10">
      <c r="D1980" s="257"/>
      <c r="E1980" s="534"/>
      <c r="F1980" s="538"/>
      <c r="H1980" s="257"/>
      <c r="I1980" s="534"/>
      <c r="J1980" s="538"/>
    </row>
    <row r="1981" spans="4:10">
      <c r="D1981" s="371" t="s">
        <v>4</v>
      </c>
      <c r="E1981" s="532">
        <f>SUM(E1977:E1980)</f>
        <v>718</v>
      </c>
      <c r="F1981" s="533">
        <f>SUM(F1977:F1980)</f>
        <v>2154</v>
      </c>
      <c r="H1981" s="371" t="s">
        <v>4</v>
      </c>
      <c r="I1981" s="532">
        <f>SUM(I1977:I1980)</f>
        <v>1158</v>
      </c>
      <c r="J1981" s="533">
        <f>SUM(J1977:J1980)</f>
        <v>5504</v>
      </c>
    </row>
    <row r="1983" spans="4:10" ht="15.75" thickBot="1"/>
    <row r="1984" spans="4:10" ht="15.75" customHeight="1" thickBot="1">
      <c r="D1984" s="653" t="s">
        <v>0</v>
      </c>
      <c r="E1984" s="654"/>
      <c r="F1984" s="655"/>
      <c r="H1984" s="653" t="s">
        <v>0</v>
      </c>
      <c r="I1984" s="654"/>
      <c r="J1984" s="655"/>
    </row>
    <row r="1985" spans="4:10">
      <c r="D1985" s="550" t="s">
        <v>1</v>
      </c>
      <c r="E1985" s="543">
        <v>46162</v>
      </c>
      <c r="F1985" s="656" t="s">
        <v>184</v>
      </c>
      <c r="H1985" s="553" t="s">
        <v>1</v>
      </c>
      <c r="I1985" s="543">
        <v>46163</v>
      </c>
      <c r="J1985" s="656" t="s">
        <v>184</v>
      </c>
    </row>
    <row r="1986" spans="4:10">
      <c r="D1986" s="552" t="s">
        <v>2</v>
      </c>
      <c r="E1986" s="552" t="s">
        <v>3</v>
      </c>
      <c r="F1986" s="657"/>
      <c r="H1986" s="555" t="s">
        <v>2</v>
      </c>
      <c r="I1986" s="555" t="s">
        <v>3</v>
      </c>
      <c r="J1986" s="657"/>
    </row>
    <row r="1987" spans="4:10">
      <c r="D1987" s="552" t="s">
        <v>369</v>
      </c>
      <c r="E1987" s="552">
        <v>657</v>
      </c>
      <c r="F1987" s="551">
        <v>1971</v>
      </c>
      <c r="H1987" s="555" t="s">
        <v>435</v>
      </c>
      <c r="I1987" s="555">
        <v>274</v>
      </c>
      <c r="J1987" s="554">
        <v>822</v>
      </c>
    </row>
    <row r="1988" spans="4:10">
      <c r="D1988" s="552" t="s">
        <v>435</v>
      </c>
      <c r="E1988" s="552">
        <v>67</v>
      </c>
      <c r="F1988" s="551">
        <v>201</v>
      </c>
      <c r="H1988" s="555"/>
      <c r="I1988" s="555"/>
      <c r="J1988" s="554"/>
    </row>
    <row r="1989" spans="4:10">
      <c r="D1989" s="217"/>
      <c r="E1989" s="552"/>
      <c r="F1989" s="551"/>
      <c r="H1989" s="217"/>
      <c r="I1989" s="555"/>
      <c r="J1989" s="554"/>
    </row>
    <row r="1990" spans="4:10">
      <c r="D1990" s="257"/>
      <c r="E1990" s="534"/>
      <c r="F1990" s="538"/>
      <c r="H1990" s="257"/>
      <c r="I1990" s="534"/>
      <c r="J1990" s="538"/>
    </row>
    <row r="1991" spans="4:10">
      <c r="D1991" s="371" t="s">
        <v>4</v>
      </c>
      <c r="E1991" s="532">
        <f>SUM(E1987:E1990)</f>
        <v>724</v>
      </c>
      <c r="F1991" s="533">
        <f>SUM(F1987:F1990)</f>
        <v>2172</v>
      </c>
      <c r="H1991" s="371" t="s">
        <v>4</v>
      </c>
      <c r="I1991" s="532">
        <f>SUM(I1987:I1990)</f>
        <v>274</v>
      </c>
      <c r="J1991" s="533">
        <f>SUM(J1987:J1990)</f>
        <v>822</v>
      </c>
    </row>
    <row r="1992" spans="4:10" ht="15.75" thickBot="1"/>
    <row r="1993" spans="4:10" ht="17.25" customHeight="1" thickBot="1">
      <c r="D1993" s="653" t="s">
        <v>0</v>
      </c>
      <c r="E1993" s="654"/>
      <c r="F1993" s="655"/>
      <c r="H1993" s="653" t="s">
        <v>0</v>
      </c>
      <c r="I1993" s="654"/>
      <c r="J1993" s="655"/>
    </row>
    <row r="1994" spans="4:10">
      <c r="D1994" s="553" t="s">
        <v>1</v>
      </c>
      <c r="E1994" s="543">
        <v>46164</v>
      </c>
      <c r="F1994" s="656" t="s">
        <v>184</v>
      </c>
      <c r="H1994" s="553" t="s">
        <v>1</v>
      </c>
      <c r="I1994" s="543">
        <v>46165</v>
      </c>
      <c r="J1994" s="656" t="s">
        <v>184</v>
      </c>
    </row>
    <row r="1995" spans="4:10">
      <c r="D1995" s="555" t="s">
        <v>2</v>
      </c>
      <c r="E1995" s="555" t="s">
        <v>3</v>
      </c>
      <c r="F1995" s="657"/>
      <c r="H1995" s="555" t="s">
        <v>2</v>
      </c>
      <c r="I1995" s="555" t="s">
        <v>3</v>
      </c>
      <c r="J1995" s="657"/>
    </row>
    <row r="1996" spans="4:10">
      <c r="D1996" s="555" t="s">
        <v>435</v>
      </c>
      <c r="E1996" s="555">
        <v>459</v>
      </c>
      <c r="F1996" s="554">
        <v>1377</v>
      </c>
      <c r="H1996" s="555" t="s">
        <v>436</v>
      </c>
      <c r="I1996" s="555">
        <v>834</v>
      </c>
      <c r="J1996" s="554">
        <v>2500</v>
      </c>
    </row>
    <row r="1997" spans="4:10">
      <c r="D1997" s="555" t="s">
        <v>251</v>
      </c>
      <c r="E1997" s="555">
        <v>267</v>
      </c>
      <c r="F1997" s="554">
        <v>801</v>
      </c>
      <c r="H1997" s="555"/>
      <c r="I1997" s="555"/>
      <c r="J1997" s="554"/>
    </row>
    <row r="1998" spans="4:10">
      <c r="D1998" s="217"/>
      <c r="E1998" s="555"/>
      <c r="F1998" s="554"/>
      <c r="H1998" s="217"/>
      <c r="I1998" s="555"/>
      <c r="J1998" s="554"/>
    </row>
    <row r="1999" spans="4:10">
      <c r="D1999" s="257"/>
      <c r="E1999" s="534"/>
      <c r="F1999" s="538"/>
      <c r="H1999" s="257"/>
      <c r="I1999" s="534"/>
      <c r="J1999" s="538"/>
    </row>
    <row r="2000" spans="4:10">
      <c r="D2000" s="371" t="s">
        <v>4</v>
      </c>
      <c r="E2000" s="532">
        <f>SUM(E1996:E1999)</f>
        <v>726</v>
      </c>
      <c r="F2000" s="533">
        <f>SUM(F1996:F1999)</f>
        <v>2178</v>
      </c>
      <c r="H2000" s="371" t="s">
        <v>4</v>
      </c>
      <c r="I2000" s="532">
        <f>SUM(I1996:I1999)</f>
        <v>834</v>
      </c>
      <c r="J2000" s="533">
        <f>SUM(J1996:J1999)</f>
        <v>2500</v>
      </c>
    </row>
    <row r="2002" spans="4:10" ht="15.75" thickBot="1"/>
    <row r="2003" spans="4:10" ht="15.75" thickBot="1">
      <c r="D2003" s="653" t="s">
        <v>0</v>
      </c>
      <c r="E2003" s="654"/>
      <c r="F2003" s="655"/>
      <c r="H2003" s="653" t="s">
        <v>0</v>
      </c>
      <c r="I2003" s="654"/>
      <c r="J2003" s="655"/>
    </row>
    <row r="2004" spans="4:10">
      <c r="D2004" s="556" t="s">
        <v>1</v>
      </c>
      <c r="E2004" s="543">
        <v>46168</v>
      </c>
      <c r="F2004" s="656" t="s">
        <v>184</v>
      </c>
      <c r="H2004" s="556" t="s">
        <v>1</v>
      </c>
      <c r="I2004" s="543">
        <v>46169</v>
      </c>
      <c r="J2004" s="656" t="s">
        <v>184</v>
      </c>
    </row>
    <row r="2005" spans="4:10">
      <c r="D2005" s="558" t="s">
        <v>2</v>
      </c>
      <c r="E2005" s="558" t="s">
        <v>3</v>
      </c>
      <c r="F2005" s="657"/>
      <c r="H2005" s="558" t="s">
        <v>2</v>
      </c>
      <c r="I2005" s="558" t="s">
        <v>3</v>
      </c>
      <c r="J2005" s="657"/>
    </row>
    <row r="2006" spans="4:10">
      <c r="D2006" s="558" t="s">
        <v>437</v>
      </c>
      <c r="E2006" s="558">
        <v>667</v>
      </c>
      <c r="F2006" s="557">
        <v>2000</v>
      </c>
      <c r="H2006" s="558" t="s">
        <v>252</v>
      </c>
      <c r="I2006" s="558">
        <v>667</v>
      </c>
      <c r="J2006" s="557">
        <v>2000</v>
      </c>
    </row>
    <row r="2007" spans="4:10">
      <c r="D2007" s="558" t="s">
        <v>438</v>
      </c>
      <c r="E2007" s="558">
        <v>50</v>
      </c>
      <c r="F2007" s="557">
        <v>150</v>
      </c>
      <c r="H2007" s="558" t="s">
        <v>439</v>
      </c>
      <c r="I2007" s="558">
        <v>50</v>
      </c>
      <c r="J2007" s="557">
        <v>150</v>
      </c>
    </row>
    <row r="2008" spans="4:10">
      <c r="D2008" s="217"/>
      <c r="E2008" s="558"/>
      <c r="F2008" s="557"/>
      <c r="H2008" s="558" t="s">
        <v>440</v>
      </c>
      <c r="I2008" s="558">
        <v>50</v>
      </c>
      <c r="J2008" s="557">
        <v>150</v>
      </c>
    </row>
    <row r="2009" spans="4:10">
      <c r="D2009" s="257"/>
      <c r="E2009" s="534"/>
      <c r="F2009" s="538"/>
      <c r="H2009" s="257"/>
      <c r="I2009" s="534"/>
      <c r="J2009" s="538"/>
    </row>
    <row r="2010" spans="4:10">
      <c r="D2010" s="371" t="s">
        <v>4</v>
      </c>
      <c r="E2010" s="532">
        <f>SUM(E2006:E2009)</f>
        <v>717</v>
      </c>
      <c r="F2010" s="533">
        <f>SUM(F2006:F2009)</f>
        <v>2150</v>
      </c>
      <c r="H2010" s="371" t="s">
        <v>4</v>
      </c>
      <c r="I2010" s="532">
        <f>SUM(I2006:I2009)</f>
        <v>767</v>
      </c>
      <c r="J2010" s="533">
        <f>SUM(J2006:J2009)</f>
        <v>2300</v>
      </c>
    </row>
    <row r="2012" spans="4:10" ht="15.75" thickBot="1"/>
    <row r="2013" spans="4:10" ht="15.75" thickBot="1">
      <c r="D2013" s="653" t="s">
        <v>0</v>
      </c>
      <c r="E2013" s="654"/>
      <c r="F2013" s="655"/>
      <c r="H2013" s="653" t="s">
        <v>0</v>
      </c>
      <c r="I2013" s="654"/>
      <c r="J2013" s="655"/>
    </row>
    <row r="2014" spans="4:10">
      <c r="D2014" s="556" t="s">
        <v>1</v>
      </c>
      <c r="E2014" s="543">
        <v>46170</v>
      </c>
      <c r="F2014" s="656" t="s">
        <v>184</v>
      </c>
      <c r="H2014" s="556" t="s">
        <v>1</v>
      </c>
      <c r="I2014" s="543">
        <v>46171</v>
      </c>
      <c r="J2014" s="656" t="s">
        <v>184</v>
      </c>
    </row>
    <row r="2015" spans="4:10">
      <c r="D2015" s="558" t="s">
        <v>2</v>
      </c>
      <c r="E2015" s="558" t="s">
        <v>3</v>
      </c>
      <c r="F2015" s="657"/>
      <c r="H2015" s="558" t="s">
        <v>2</v>
      </c>
      <c r="I2015" s="558" t="s">
        <v>3</v>
      </c>
      <c r="J2015" s="657"/>
    </row>
    <row r="2016" spans="4:10">
      <c r="D2016" s="558" t="s">
        <v>416</v>
      </c>
      <c r="E2016" s="558">
        <v>667</v>
      </c>
      <c r="F2016" s="557">
        <v>2000</v>
      </c>
      <c r="H2016" s="558" t="s">
        <v>5</v>
      </c>
      <c r="I2016" s="558">
        <v>667</v>
      </c>
      <c r="J2016" s="557">
        <v>2000</v>
      </c>
    </row>
    <row r="2017" spans="4:10">
      <c r="D2017" s="664" t="s">
        <v>441</v>
      </c>
      <c r="E2017" s="666">
        <v>50</v>
      </c>
      <c r="F2017" s="666">
        <v>150</v>
      </c>
      <c r="H2017" s="664" t="s">
        <v>442</v>
      </c>
      <c r="I2017" s="666">
        <v>50</v>
      </c>
      <c r="J2017" s="666">
        <v>150</v>
      </c>
    </row>
    <row r="2018" spans="4:10">
      <c r="D2018" s="665"/>
      <c r="E2018" s="657"/>
      <c r="F2018" s="657"/>
      <c r="H2018" s="665"/>
      <c r="I2018" s="657"/>
      <c r="J2018" s="657"/>
    </row>
    <row r="2019" spans="4:10">
      <c r="D2019" s="257"/>
      <c r="E2019" s="534"/>
      <c r="F2019" s="538"/>
      <c r="H2019" s="257"/>
      <c r="I2019" s="534"/>
      <c r="J2019" s="538"/>
    </row>
    <row r="2020" spans="4:10">
      <c r="D2020" s="371" t="s">
        <v>4</v>
      </c>
      <c r="E2020" s="532">
        <f>SUM(E2016:E2019)</f>
        <v>717</v>
      </c>
      <c r="F2020" s="533">
        <f>SUM(F2016:F2019)</f>
        <v>2150</v>
      </c>
      <c r="H2020" s="371" t="s">
        <v>4</v>
      </c>
      <c r="I2020" s="532">
        <f>SUM(I2016:I2019)</f>
        <v>717</v>
      </c>
      <c r="J2020" s="533">
        <f>SUM(J2016:J2019)</f>
        <v>2150</v>
      </c>
    </row>
    <row r="2022" spans="4:10" ht="15.75" thickBot="1"/>
    <row r="2023" spans="4:10" ht="15.75" thickBot="1">
      <c r="D2023" s="653" t="s">
        <v>0</v>
      </c>
      <c r="E2023" s="654"/>
      <c r="F2023" s="655"/>
    </row>
    <row r="2024" spans="4:10">
      <c r="D2024" s="556" t="s">
        <v>1</v>
      </c>
      <c r="E2024" s="543">
        <v>46172</v>
      </c>
      <c r="F2024" s="656" t="s">
        <v>184</v>
      </c>
    </row>
    <row r="2025" spans="4:10">
      <c r="D2025" s="558" t="s">
        <v>2</v>
      </c>
      <c r="E2025" s="558" t="s">
        <v>3</v>
      </c>
      <c r="F2025" s="657"/>
    </row>
    <row r="2026" spans="4:10">
      <c r="D2026" s="558" t="s">
        <v>443</v>
      </c>
      <c r="E2026" s="558">
        <v>667</v>
      </c>
      <c r="F2026" s="557">
        <v>2000</v>
      </c>
    </row>
    <row r="2027" spans="4:10">
      <c r="D2027" s="664" t="s">
        <v>445</v>
      </c>
      <c r="E2027" s="666">
        <v>47</v>
      </c>
      <c r="F2027" s="666">
        <v>141</v>
      </c>
    </row>
    <row r="2028" spans="4:10">
      <c r="D2028" s="665"/>
      <c r="E2028" s="657"/>
      <c r="F2028" s="657"/>
    </row>
    <row r="2029" spans="4:10">
      <c r="D2029" s="257"/>
      <c r="E2029" s="534"/>
      <c r="F2029" s="538"/>
    </row>
    <row r="2030" spans="4:10">
      <c r="D2030" s="371" t="s">
        <v>4</v>
      </c>
      <c r="E2030" s="532">
        <f>SUM(E2026:E2029)</f>
        <v>714</v>
      </c>
      <c r="F2030" s="533">
        <f>SUM(F2026:F2029)</f>
        <v>2141</v>
      </c>
    </row>
    <row r="2033" spans="4:10" ht="15.75" thickBot="1"/>
    <row r="2034" spans="4:10">
      <c r="D2034" s="658" t="s">
        <v>444</v>
      </c>
      <c r="E2034" s="659"/>
      <c r="F2034" s="659"/>
      <c r="G2034" s="659"/>
      <c r="H2034" s="659"/>
      <c r="I2034" s="659"/>
      <c r="J2034" s="660"/>
    </row>
    <row r="2035" spans="4:10" ht="15.75" thickBot="1">
      <c r="D2035" s="661"/>
      <c r="E2035" s="662"/>
      <c r="F2035" s="662"/>
      <c r="G2035" s="662"/>
      <c r="H2035" s="662"/>
      <c r="I2035" s="662"/>
      <c r="J2035" s="663"/>
    </row>
    <row r="2037" spans="4:10" ht="15.75" thickBot="1"/>
    <row r="2038" spans="4:10" ht="15.75" thickBot="1">
      <c r="D2038" s="653" t="s">
        <v>0</v>
      </c>
      <c r="E2038" s="654"/>
      <c r="F2038" s="655"/>
      <c r="H2038" s="653" t="s">
        <v>0</v>
      </c>
      <c r="I2038" s="654"/>
      <c r="J2038" s="655"/>
    </row>
    <row r="2039" spans="4:10">
      <c r="D2039" s="556" t="s">
        <v>1</v>
      </c>
      <c r="E2039" s="543">
        <v>46174</v>
      </c>
      <c r="F2039" s="656" t="s">
        <v>184</v>
      </c>
      <c r="H2039" s="559" t="s">
        <v>1</v>
      </c>
      <c r="I2039" s="543">
        <v>46175</v>
      </c>
      <c r="J2039" s="656" t="s">
        <v>184</v>
      </c>
    </row>
    <row r="2040" spans="4:10">
      <c r="D2040" s="558" t="s">
        <v>2</v>
      </c>
      <c r="E2040" s="558" t="s">
        <v>3</v>
      </c>
      <c r="F2040" s="657"/>
      <c r="H2040" s="561" t="s">
        <v>2</v>
      </c>
      <c r="I2040" s="561" t="s">
        <v>3</v>
      </c>
      <c r="J2040" s="657"/>
    </row>
    <row r="2041" spans="4:10" ht="17.25" customHeight="1">
      <c r="D2041" s="558" t="s">
        <v>205</v>
      </c>
      <c r="E2041" s="558">
        <v>783</v>
      </c>
      <c r="F2041" s="557">
        <v>3915</v>
      </c>
      <c r="H2041" s="561" t="s">
        <v>25</v>
      </c>
      <c r="I2041" s="561">
        <v>136</v>
      </c>
      <c r="J2041" s="560">
        <v>680</v>
      </c>
    </row>
    <row r="2042" spans="4:10" ht="12" customHeight="1">
      <c r="D2042" s="664" t="s">
        <v>226</v>
      </c>
      <c r="E2042" s="666">
        <v>614</v>
      </c>
      <c r="F2042" s="666">
        <v>3070</v>
      </c>
      <c r="H2042" s="664" t="s">
        <v>446</v>
      </c>
      <c r="I2042" s="666">
        <v>50</v>
      </c>
      <c r="J2042" s="666">
        <v>150</v>
      </c>
    </row>
    <row r="2043" spans="4:10" ht="7.5" customHeight="1">
      <c r="D2043" s="665"/>
      <c r="E2043" s="657"/>
      <c r="F2043" s="657"/>
      <c r="H2043" s="665"/>
      <c r="I2043" s="657"/>
      <c r="J2043" s="657"/>
    </row>
    <row r="2044" spans="4:10">
      <c r="D2044" s="257"/>
      <c r="E2044" s="534"/>
      <c r="F2044" s="538"/>
      <c r="H2044" s="217" t="s">
        <v>447</v>
      </c>
      <c r="I2044" s="534">
        <v>167</v>
      </c>
      <c r="J2044" s="538">
        <v>501</v>
      </c>
    </row>
    <row r="2045" spans="4:10">
      <c r="D2045" s="371" t="s">
        <v>4</v>
      </c>
      <c r="E2045" s="532">
        <f>SUM(E2041:E2044)</f>
        <v>1397</v>
      </c>
      <c r="F2045" s="533">
        <f>SUM(F2041:F2044)</f>
        <v>6985</v>
      </c>
      <c r="H2045" s="371" t="s">
        <v>4</v>
      </c>
      <c r="I2045" s="532">
        <f>SUM(I2041:I2044)</f>
        <v>353</v>
      </c>
      <c r="J2045" s="533">
        <f>SUM(J2041:J2044)</f>
        <v>1331</v>
      </c>
    </row>
    <row r="2047" spans="4:10" ht="15.75" thickBot="1"/>
    <row r="2048" spans="4:10" ht="15.75" thickBot="1">
      <c r="D2048" s="653" t="s">
        <v>0</v>
      </c>
      <c r="E2048" s="654"/>
      <c r="F2048" s="655"/>
      <c r="H2048" s="653" t="s">
        <v>0</v>
      </c>
      <c r="I2048" s="654"/>
      <c r="J2048" s="655"/>
    </row>
    <row r="2049" spans="4:10">
      <c r="D2049" s="559" t="s">
        <v>1</v>
      </c>
      <c r="E2049" s="543">
        <v>46176</v>
      </c>
      <c r="F2049" s="656" t="s">
        <v>184</v>
      </c>
      <c r="H2049" s="562" t="s">
        <v>1</v>
      </c>
      <c r="I2049" s="543">
        <v>46177</v>
      </c>
      <c r="J2049" s="656" t="s">
        <v>184</v>
      </c>
    </row>
    <row r="2050" spans="4:10" ht="12.75" customHeight="1">
      <c r="D2050" s="561" t="s">
        <v>2</v>
      </c>
      <c r="E2050" s="561" t="s">
        <v>3</v>
      </c>
      <c r="F2050" s="657"/>
      <c r="H2050" s="564" t="s">
        <v>2</v>
      </c>
      <c r="I2050" s="564" t="s">
        <v>3</v>
      </c>
      <c r="J2050" s="657"/>
    </row>
    <row r="2051" spans="4:10" ht="18.75" customHeight="1">
      <c r="D2051" s="561" t="s">
        <v>448</v>
      </c>
      <c r="E2051" s="561">
        <v>120</v>
      </c>
      <c r="F2051" s="560">
        <v>360</v>
      </c>
      <c r="H2051" s="564" t="s">
        <v>8</v>
      </c>
      <c r="I2051" s="564">
        <v>136</v>
      </c>
      <c r="J2051" s="563">
        <v>408</v>
      </c>
    </row>
    <row r="2052" spans="4:10" ht="13.5" customHeight="1">
      <c r="D2052" s="664" t="s">
        <v>8</v>
      </c>
      <c r="E2052" s="666">
        <v>564</v>
      </c>
      <c r="F2052" s="666">
        <v>1692</v>
      </c>
      <c r="H2052" s="664" t="s">
        <v>11</v>
      </c>
      <c r="I2052" s="666">
        <v>700</v>
      </c>
      <c r="J2052" s="666">
        <v>2100</v>
      </c>
    </row>
    <row r="2053" spans="4:10" ht="12" customHeight="1">
      <c r="D2053" s="665"/>
      <c r="E2053" s="657"/>
      <c r="F2053" s="657"/>
      <c r="H2053" s="665"/>
      <c r="I2053" s="657"/>
      <c r="J2053" s="657"/>
    </row>
    <row r="2054" spans="4:10">
      <c r="D2054" s="217"/>
      <c r="E2054" s="534"/>
      <c r="F2054" s="538"/>
      <c r="H2054" s="217"/>
      <c r="I2054" s="534"/>
      <c r="J2054" s="538"/>
    </row>
    <row r="2055" spans="4:10">
      <c r="D2055" s="371" t="s">
        <v>4</v>
      </c>
      <c r="E2055" s="532">
        <f>SUM(E2051:E2054)</f>
        <v>684</v>
      </c>
      <c r="F2055" s="533">
        <f>SUM(F2051:F2054)</f>
        <v>2052</v>
      </c>
      <c r="H2055" s="371" t="s">
        <v>4</v>
      </c>
      <c r="I2055" s="532">
        <f>SUM(I2051:I2054)</f>
        <v>836</v>
      </c>
      <c r="J2055" s="533">
        <f>SUM(J2051:J2054)</f>
        <v>2508</v>
      </c>
    </row>
    <row r="2056" spans="4:10" ht="15.75" thickBot="1"/>
    <row r="2057" spans="4:10" ht="15.75" thickBot="1">
      <c r="D2057" s="653" t="s">
        <v>0</v>
      </c>
      <c r="E2057" s="654"/>
      <c r="F2057" s="655"/>
      <c r="H2057" s="653" t="s">
        <v>0</v>
      </c>
      <c r="I2057" s="654"/>
      <c r="J2057" s="655"/>
    </row>
    <row r="2058" spans="4:10">
      <c r="D2058" s="562" t="s">
        <v>1</v>
      </c>
      <c r="E2058" s="543">
        <v>46178</v>
      </c>
      <c r="F2058" s="656" t="s">
        <v>184</v>
      </c>
      <c r="H2058" s="565" t="s">
        <v>1</v>
      </c>
      <c r="I2058" s="543">
        <v>46179</v>
      </c>
      <c r="J2058" s="656" t="s">
        <v>184</v>
      </c>
    </row>
    <row r="2059" spans="4:10" ht="15" customHeight="1">
      <c r="D2059" s="564" t="s">
        <v>2</v>
      </c>
      <c r="E2059" s="564" t="s">
        <v>3</v>
      </c>
      <c r="F2059" s="657"/>
      <c r="H2059" s="568" t="s">
        <v>2</v>
      </c>
      <c r="I2059" s="568" t="s">
        <v>3</v>
      </c>
      <c r="J2059" s="657"/>
    </row>
    <row r="2060" spans="4:10" ht="15.75" customHeight="1">
      <c r="D2060" s="564" t="s">
        <v>449</v>
      </c>
      <c r="E2060" s="564">
        <v>552</v>
      </c>
      <c r="F2060" s="563">
        <v>1656</v>
      </c>
      <c r="H2060" s="568" t="s">
        <v>420</v>
      </c>
      <c r="I2060" s="568">
        <v>770</v>
      </c>
      <c r="J2060" s="567">
        <v>2310</v>
      </c>
    </row>
    <row r="2061" spans="4:10">
      <c r="D2061" s="664" t="s">
        <v>450</v>
      </c>
      <c r="E2061" s="666">
        <v>159</v>
      </c>
      <c r="F2061" s="666">
        <v>477</v>
      </c>
      <c r="H2061" s="664"/>
      <c r="I2061" s="666"/>
      <c r="J2061" s="666"/>
    </row>
    <row r="2062" spans="4:10">
      <c r="D2062" s="665"/>
      <c r="E2062" s="657"/>
      <c r="F2062" s="657"/>
      <c r="H2062" s="665"/>
      <c r="I2062" s="657"/>
      <c r="J2062" s="657"/>
    </row>
    <row r="2063" spans="4:10">
      <c r="D2063" s="217"/>
      <c r="E2063" s="534"/>
      <c r="F2063" s="538"/>
      <c r="H2063" s="217"/>
      <c r="I2063" s="534"/>
      <c r="J2063" s="538"/>
    </row>
    <row r="2064" spans="4:10">
      <c r="D2064" s="371" t="s">
        <v>4</v>
      </c>
      <c r="E2064" s="532">
        <f>SUM(E2060:E2063)</f>
        <v>711</v>
      </c>
      <c r="F2064" s="533">
        <f>SUM(F2060:F2063)</f>
        <v>2133</v>
      </c>
      <c r="H2064" s="371" t="s">
        <v>4</v>
      </c>
      <c r="I2064" s="532">
        <f>SUM(I2060:I2063)</f>
        <v>770</v>
      </c>
      <c r="J2064" s="533">
        <f>SUM(J2060:J2063)</f>
        <v>2310</v>
      </c>
    </row>
    <row r="2066" spans="4:10" ht="15.75" thickBot="1"/>
    <row r="2067" spans="4:10" ht="15.75" thickBot="1">
      <c r="D2067" s="653" t="s">
        <v>0</v>
      </c>
      <c r="E2067" s="654"/>
      <c r="F2067" s="655"/>
      <c r="H2067" s="653" t="s">
        <v>0</v>
      </c>
      <c r="I2067" s="654"/>
      <c r="J2067" s="655"/>
    </row>
    <row r="2068" spans="4:10">
      <c r="D2068" s="565" t="s">
        <v>1</v>
      </c>
      <c r="E2068" s="543">
        <v>46182</v>
      </c>
      <c r="F2068" s="656" t="s">
        <v>184</v>
      </c>
      <c r="H2068" s="565" t="s">
        <v>1</v>
      </c>
      <c r="I2068" s="543">
        <v>46184</v>
      </c>
      <c r="J2068" s="656" t="s">
        <v>184</v>
      </c>
    </row>
    <row r="2069" spans="4:10">
      <c r="D2069" s="568" t="s">
        <v>2</v>
      </c>
      <c r="E2069" s="568" t="s">
        <v>3</v>
      </c>
      <c r="F2069" s="657"/>
      <c r="H2069" s="568" t="s">
        <v>2</v>
      </c>
      <c r="I2069" s="568" t="s">
        <v>3</v>
      </c>
      <c r="J2069" s="657"/>
    </row>
    <row r="2070" spans="4:10">
      <c r="D2070" s="568" t="s">
        <v>451</v>
      </c>
      <c r="E2070" s="568">
        <v>832</v>
      </c>
      <c r="F2070" s="567">
        <v>4160</v>
      </c>
      <c r="H2070" s="568" t="s">
        <v>452</v>
      </c>
      <c r="I2070" s="568">
        <v>667</v>
      </c>
      <c r="J2070" s="567">
        <v>2000</v>
      </c>
    </row>
    <row r="2071" spans="4:10">
      <c r="D2071" s="566"/>
      <c r="E2071" s="574"/>
      <c r="F2071" s="574"/>
      <c r="H2071" s="566"/>
      <c r="I2071" s="574"/>
      <c r="J2071" s="574"/>
    </row>
    <row r="2072" spans="4:10">
      <c r="D2072" s="573"/>
      <c r="E2072" s="575"/>
      <c r="F2072" s="575"/>
      <c r="H2072" s="573"/>
      <c r="I2072" s="575"/>
      <c r="J2072" s="575"/>
    </row>
    <row r="2073" spans="4:10">
      <c r="D2073" s="217"/>
      <c r="E2073" s="534"/>
      <c r="F2073" s="538"/>
      <c r="H2073" s="217"/>
      <c r="I2073" s="534"/>
      <c r="J2073" s="538"/>
    </row>
    <row r="2074" spans="4:10">
      <c r="D2074" s="371" t="s">
        <v>4</v>
      </c>
      <c r="E2074" s="532">
        <f>SUM(E2070:E2073)</f>
        <v>832</v>
      </c>
      <c r="F2074" s="533">
        <f>SUM(F2070:F2073)</f>
        <v>4160</v>
      </c>
      <c r="H2074" s="371" t="s">
        <v>4</v>
      </c>
      <c r="I2074" s="532">
        <f>SUM(I2070:I2073)</f>
        <v>667</v>
      </c>
      <c r="J2074" s="533">
        <f>SUM(J2070:J2073)</f>
        <v>2000</v>
      </c>
    </row>
    <row r="2076" spans="4:10" ht="15.75" thickBot="1"/>
    <row r="2077" spans="4:10" ht="15.75" thickBot="1">
      <c r="D2077" s="653" t="s">
        <v>0</v>
      </c>
      <c r="E2077" s="654"/>
      <c r="F2077" s="655"/>
      <c r="H2077" s="653" t="s">
        <v>0</v>
      </c>
      <c r="I2077" s="654"/>
      <c r="J2077" s="655"/>
    </row>
    <row r="2078" spans="4:10">
      <c r="D2078" s="569" t="s">
        <v>1</v>
      </c>
      <c r="E2078" s="543">
        <v>46185</v>
      </c>
      <c r="F2078" s="656" t="s">
        <v>184</v>
      </c>
      <c r="H2078" s="569" t="s">
        <v>1</v>
      </c>
      <c r="I2078" s="543">
        <v>46186</v>
      </c>
      <c r="J2078" s="656" t="s">
        <v>184</v>
      </c>
    </row>
    <row r="2079" spans="4:10">
      <c r="D2079" s="572" t="s">
        <v>2</v>
      </c>
      <c r="E2079" s="572" t="s">
        <v>3</v>
      </c>
      <c r="F2079" s="657"/>
      <c r="H2079" s="572" t="s">
        <v>2</v>
      </c>
      <c r="I2079" s="572" t="s">
        <v>3</v>
      </c>
      <c r="J2079" s="657"/>
    </row>
    <row r="2080" spans="4:10">
      <c r="D2080" s="572" t="s">
        <v>367</v>
      </c>
      <c r="E2080" s="572">
        <v>667</v>
      </c>
      <c r="F2080" s="571">
        <v>2000</v>
      </c>
      <c r="H2080" s="572" t="s">
        <v>34</v>
      </c>
      <c r="I2080" s="572">
        <v>734</v>
      </c>
      <c r="J2080" s="571">
        <v>2200</v>
      </c>
    </row>
    <row r="2081" spans="4:10">
      <c r="D2081" s="570"/>
      <c r="E2081" s="574"/>
      <c r="F2081" s="574"/>
      <c r="H2081" s="570" t="s">
        <v>331</v>
      </c>
      <c r="I2081" s="576">
        <v>130</v>
      </c>
      <c r="J2081" s="576">
        <v>390</v>
      </c>
    </row>
    <row r="2082" spans="4:10">
      <c r="D2082" s="573"/>
      <c r="E2082" s="575"/>
      <c r="F2082" s="575"/>
      <c r="H2082" s="573"/>
      <c r="I2082" s="575"/>
      <c r="J2082" s="575"/>
    </row>
    <row r="2083" spans="4:10">
      <c r="D2083" s="217"/>
      <c r="E2083" s="534"/>
      <c r="F2083" s="538"/>
      <c r="H2083" s="217"/>
      <c r="I2083" s="534"/>
      <c r="J2083" s="538"/>
    </row>
    <row r="2084" spans="4:10">
      <c r="D2084" s="371" t="s">
        <v>4</v>
      </c>
      <c r="E2084" s="532">
        <f>SUM(E2080:E2083)</f>
        <v>667</v>
      </c>
      <c r="F2084" s="533">
        <f>SUM(F2080:F2083)</f>
        <v>2000</v>
      </c>
      <c r="H2084" s="371" t="s">
        <v>4</v>
      </c>
      <c r="I2084" s="532">
        <f>SUM(I2080:I2083)</f>
        <v>864</v>
      </c>
      <c r="J2084" s="533">
        <f>SUM(J2080:J2083)</f>
        <v>2590</v>
      </c>
    </row>
    <row r="2086" spans="4:10" ht="15.75" thickBot="1"/>
    <row r="2087" spans="4:10" ht="15.75" customHeight="1" thickBot="1">
      <c r="D2087" s="653" t="s">
        <v>0</v>
      </c>
      <c r="E2087" s="654"/>
      <c r="F2087" s="655"/>
      <c r="H2087" s="653" t="s">
        <v>0</v>
      </c>
      <c r="I2087" s="654"/>
      <c r="J2087" s="655"/>
    </row>
    <row r="2088" spans="4:10">
      <c r="D2088" s="577" t="s">
        <v>1</v>
      </c>
      <c r="E2088" s="543">
        <v>46188</v>
      </c>
      <c r="F2088" s="656" t="s">
        <v>184</v>
      </c>
      <c r="H2088" s="577" t="s">
        <v>1</v>
      </c>
      <c r="I2088" s="543">
        <v>46189</v>
      </c>
      <c r="J2088" s="656" t="s">
        <v>184</v>
      </c>
    </row>
    <row r="2089" spans="4:10">
      <c r="D2089" s="580" t="s">
        <v>2</v>
      </c>
      <c r="E2089" s="580" t="s">
        <v>3</v>
      </c>
      <c r="F2089" s="657"/>
      <c r="H2089" s="580" t="s">
        <v>2</v>
      </c>
      <c r="I2089" s="580" t="s">
        <v>3</v>
      </c>
      <c r="J2089" s="657"/>
    </row>
    <row r="2090" spans="4:10">
      <c r="D2090" s="580"/>
      <c r="E2090" s="580"/>
      <c r="F2090" s="579"/>
      <c r="H2090" s="580" t="s">
        <v>252</v>
      </c>
      <c r="I2090" s="580">
        <v>400</v>
      </c>
      <c r="J2090" s="579">
        <v>1200</v>
      </c>
    </row>
    <row r="2091" spans="4:10">
      <c r="D2091" s="578" t="s">
        <v>331</v>
      </c>
      <c r="E2091" s="579">
        <v>552</v>
      </c>
      <c r="F2091" s="579">
        <v>1656</v>
      </c>
      <c r="H2091" s="578" t="s">
        <v>222</v>
      </c>
      <c r="I2091" s="579">
        <v>115</v>
      </c>
      <c r="J2091" s="579">
        <v>345</v>
      </c>
    </row>
    <row r="2092" spans="4:10">
      <c r="D2092" s="573"/>
      <c r="E2092" s="575"/>
      <c r="F2092" s="575"/>
      <c r="H2092" s="573"/>
      <c r="I2092" s="575"/>
      <c r="J2092" s="575"/>
    </row>
    <row r="2093" spans="4:10">
      <c r="D2093" s="217"/>
      <c r="E2093" s="534"/>
      <c r="F2093" s="538"/>
      <c r="H2093" s="217"/>
      <c r="I2093" s="534"/>
      <c r="J2093" s="538"/>
    </row>
    <row r="2094" spans="4:10">
      <c r="D2094" s="371" t="s">
        <v>4</v>
      </c>
      <c r="E2094" s="532">
        <f>SUM(E2090:E2093)</f>
        <v>552</v>
      </c>
      <c r="F2094" s="533">
        <f>SUM(F2090:F2093)</f>
        <v>1656</v>
      </c>
      <c r="H2094" s="371" t="s">
        <v>4</v>
      </c>
      <c r="I2094" s="532">
        <f>SUM(I2090:I2093)</f>
        <v>515</v>
      </c>
      <c r="J2094" s="533">
        <f>SUM(J2090:J2093)</f>
        <v>1545</v>
      </c>
    </row>
    <row r="2096" spans="4:10" ht="15.75" thickBot="1"/>
    <row r="2097" spans="4:12" ht="15.75" thickBot="1">
      <c r="D2097" s="653" t="s">
        <v>0</v>
      </c>
      <c r="E2097" s="654"/>
      <c r="F2097" s="655"/>
      <c r="H2097" s="653" t="s">
        <v>0</v>
      </c>
      <c r="I2097" s="654"/>
      <c r="J2097" s="655"/>
    </row>
    <row r="2098" spans="4:12">
      <c r="D2098" s="577" t="s">
        <v>1</v>
      </c>
      <c r="E2098" s="543">
        <v>46190</v>
      </c>
      <c r="F2098" s="656" t="s">
        <v>184</v>
      </c>
      <c r="H2098" s="577" t="s">
        <v>1</v>
      </c>
      <c r="I2098" s="543">
        <v>46191</v>
      </c>
      <c r="J2098" s="656" t="s">
        <v>184</v>
      </c>
    </row>
    <row r="2099" spans="4:12">
      <c r="D2099" s="580" t="s">
        <v>2</v>
      </c>
      <c r="E2099" s="580" t="s">
        <v>3</v>
      </c>
      <c r="F2099" s="657"/>
      <c r="H2099" s="580" t="s">
        <v>2</v>
      </c>
      <c r="I2099" s="580" t="s">
        <v>3</v>
      </c>
      <c r="J2099" s="657"/>
    </row>
    <row r="2100" spans="4:12">
      <c r="D2100" s="580" t="s">
        <v>5</v>
      </c>
      <c r="E2100" s="580">
        <v>285</v>
      </c>
      <c r="F2100" s="579">
        <v>855</v>
      </c>
      <c r="H2100" s="580" t="s">
        <v>100</v>
      </c>
      <c r="I2100" s="580">
        <v>140</v>
      </c>
      <c r="J2100" s="579">
        <v>420</v>
      </c>
    </row>
    <row r="2101" spans="4:12">
      <c r="D2101" s="578" t="s">
        <v>251</v>
      </c>
      <c r="E2101" s="579">
        <v>734</v>
      </c>
      <c r="F2101" s="579">
        <v>2200</v>
      </c>
      <c r="H2101" s="578" t="s">
        <v>331</v>
      </c>
      <c r="I2101" s="579">
        <v>463</v>
      </c>
      <c r="J2101" s="579">
        <v>1389</v>
      </c>
    </row>
    <row r="2102" spans="4:12">
      <c r="D2102" s="573"/>
      <c r="E2102" s="575"/>
      <c r="F2102" s="575"/>
      <c r="H2102" s="573"/>
      <c r="I2102" s="575"/>
      <c r="J2102" s="575"/>
    </row>
    <row r="2103" spans="4:12">
      <c r="D2103" s="217"/>
      <c r="E2103" s="534"/>
      <c r="F2103" s="538"/>
      <c r="H2103" s="217"/>
      <c r="I2103" s="534"/>
      <c r="J2103" s="538"/>
      <c r="L2103" t="s">
        <v>453</v>
      </c>
    </row>
    <row r="2104" spans="4:12">
      <c r="D2104" s="371" t="s">
        <v>4</v>
      </c>
      <c r="E2104" s="532">
        <f>SUM(E2100:E2103)</f>
        <v>1019</v>
      </c>
      <c r="F2104" s="533">
        <f>SUM(F2100:F2103)</f>
        <v>3055</v>
      </c>
      <c r="H2104" s="371" t="s">
        <v>4</v>
      </c>
      <c r="I2104" s="532">
        <f>SUM(I2100:I2103)</f>
        <v>603</v>
      </c>
      <c r="J2104" s="533">
        <f>SUM(J2100:J2103)</f>
        <v>1809</v>
      </c>
    </row>
    <row r="2106" spans="4:12" ht="15.75" thickBot="1"/>
    <row r="2107" spans="4:12" ht="15.75" thickBot="1">
      <c r="D2107" s="653" t="s">
        <v>0</v>
      </c>
      <c r="E2107" s="654"/>
      <c r="F2107" s="655"/>
      <c r="H2107" s="653" t="s">
        <v>0</v>
      </c>
      <c r="I2107" s="654"/>
      <c r="J2107" s="655"/>
    </row>
    <row r="2108" spans="4:12">
      <c r="D2108" s="581" t="s">
        <v>1</v>
      </c>
      <c r="E2108" s="543">
        <v>46192</v>
      </c>
      <c r="F2108" s="656" t="s">
        <v>184</v>
      </c>
      <c r="H2108" s="581" t="s">
        <v>1</v>
      </c>
      <c r="I2108" s="543">
        <v>46193</v>
      </c>
      <c r="J2108" s="656" t="s">
        <v>184</v>
      </c>
    </row>
    <row r="2109" spans="4:12">
      <c r="D2109" s="585" t="s">
        <v>2</v>
      </c>
      <c r="E2109" s="585" t="s">
        <v>3</v>
      </c>
      <c r="F2109" s="657"/>
      <c r="H2109" s="585" t="s">
        <v>2</v>
      </c>
      <c r="I2109" s="585" t="s">
        <v>3</v>
      </c>
      <c r="J2109" s="657"/>
    </row>
    <row r="2110" spans="4:12">
      <c r="D2110" s="585" t="s">
        <v>100</v>
      </c>
      <c r="E2110" s="585">
        <v>34</v>
      </c>
      <c r="F2110" s="583">
        <v>102</v>
      </c>
      <c r="H2110" s="585" t="s">
        <v>367</v>
      </c>
      <c r="I2110" s="585">
        <v>235</v>
      </c>
      <c r="J2110" s="583">
        <v>705</v>
      </c>
    </row>
    <row r="2111" spans="4:12">
      <c r="D2111" s="582" t="s">
        <v>454</v>
      </c>
      <c r="E2111" s="583">
        <v>164</v>
      </c>
      <c r="F2111" s="583">
        <v>492</v>
      </c>
      <c r="H2111" s="582" t="s">
        <v>455</v>
      </c>
      <c r="I2111" s="583">
        <v>520</v>
      </c>
      <c r="J2111" s="583">
        <v>1560</v>
      </c>
    </row>
    <row r="2112" spans="4:12">
      <c r="D2112" s="584" t="s">
        <v>367</v>
      </c>
      <c r="E2112" s="585">
        <v>432</v>
      </c>
      <c r="F2112" s="591">
        <v>1296</v>
      </c>
      <c r="H2112" s="573"/>
      <c r="I2112" s="575"/>
      <c r="J2112" s="575"/>
    </row>
    <row r="2113" spans="4:10">
      <c r="D2113" s="217"/>
      <c r="E2113" s="534"/>
      <c r="F2113" s="538"/>
      <c r="H2113" s="217"/>
      <c r="I2113" s="534"/>
      <c r="J2113" s="538"/>
    </row>
    <row r="2114" spans="4:10">
      <c r="D2114" s="371" t="s">
        <v>4</v>
      </c>
      <c r="E2114" s="532">
        <f>SUM(E2110:E2113)</f>
        <v>630</v>
      </c>
      <c r="F2114" s="533">
        <f>SUM(F2110:F2113)</f>
        <v>1890</v>
      </c>
      <c r="H2114" s="371" t="s">
        <v>4</v>
      </c>
      <c r="I2114" s="532">
        <f>SUM(I2110:I2113)</f>
        <v>755</v>
      </c>
      <c r="J2114" s="533">
        <f>SUM(J2110:J2113)</f>
        <v>2265</v>
      </c>
    </row>
    <row r="2116" spans="4:10" ht="15.75" thickBot="1"/>
    <row r="2117" spans="4:10" ht="15.75" thickBot="1">
      <c r="D2117" s="653" t="s">
        <v>0</v>
      </c>
      <c r="E2117" s="654"/>
      <c r="F2117" s="655"/>
      <c r="H2117" s="653" t="s">
        <v>0</v>
      </c>
      <c r="I2117" s="654"/>
      <c r="J2117" s="655"/>
    </row>
    <row r="2118" spans="4:10">
      <c r="D2118" s="581" t="s">
        <v>1</v>
      </c>
      <c r="E2118" s="543">
        <v>46195</v>
      </c>
      <c r="F2118" s="656" t="s">
        <v>184</v>
      </c>
      <c r="H2118" s="581" t="s">
        <v>1</v>
      </c>
      <c r="I2118" s="543">
        <v>46196</v>
      </c>
      <c r="J2118" s="656" t="s">
        <v>184</v>
      </c>
    </row>
    <row r="2119" spans="4:10">
      <c r="D2119" s="585" t="s">
        <v>2</v>
      </c>
      <c r="E2119" s="585" t="s">
        <v>3</v>
      </c>
      <c r="F2119" s="657"/>
      <c r="H2119" s="585" t="s">
        <v>2</v>
      </c>
      <c r="I2119" s="585" t="s">
        <v>3</v>
      </c>
      <c r="J2119" s="657"/>
    </row>
    <row r="2120" spans="4:10">
      <c r="D2120" s="584" t="s">
        <v>455</v>
      </c>
      <c r="E2120" s="217">
        <v>147</v>
      </c>
      <c r="F2120" s="583">
        <v>441</v>
      </c>
      <c r="H2120" s="217" t="s">
        <v>447</v>
      </c>
      <c r="I2120" s="217">
        <v>112</v>
      </c>
      <c r="J2120" s="583">
        <v>336</v>
      </c>
    </row>
    <row r="2121" spans="4:10">
      <c r="D2121" s="217" t="s">
        <v>447</v>
      </c>
      <c r="E2121" s="217">
        <v>555</v>
      </c>
      <c r="F2121" s="583">
        <v>1665</v>
      </c>
      <c r="H2121" s="217" t="s">
        <v>456</v>
      </c>
      <c r="I2121" s="217">
        <v>375</v>
      </c>
      <c r="J2121" s="583">
        <v>1125</v>
      </c>
    </row>
    <row r="2122" spans="4:10">
      <c r="D2122" s="573"/>
      <c r="E2122" s="575"/>
      <c r="F2122" s="575"/>
      <c r="H2122" s="573"/>
      <c r="I2122" s="575"/>
      <c r="J2122" s="575"/>
    </row>
    <row r="2123" spans="4:10">
      <c r="D2123" s="217"/>
      <c r="E2123" s="534"/>
      <c r="F2123" s="538"/>
      <c r="H2123" s="217"/>
      <c r="I2123" s="534"/>
      <c r="J2123" s="538"/>
    </row>
    <row r="2124" spans="4:10">
      <c r="D2124" s="371" t="s">
        <v>4</v>
      </c>
      <c r="E2124" s="532">
        <f>SUM(E2120:E2123)</f>
        <v>702</v>
      </c>
      <c r="F2124" s="533">
        <f>SUM(F2120:F2123)</f>
        <v>2106</v>
      </c>
      <c r="H2124" s="371" t="s">
        <v>4</v>
      </c>
      <c r="I2124" s="532">
        <f>SUM(I2120:I2123)</f>
        <v>487</v>
      </c>
      <c r="J2124" s="533">
        <f>SUM(J2120:J2123)</f>
        <v>1461</v>
      </c>
    </row>
    <row r="2126" spans="4:10" ht="15.75" thickBot="1"/>
    <row r="2127" spans="4:10" ht="15.75" thickBot="1">
      <c r="D2127" s="653" t="s">
        <v>0</v>
      </c>
      <c r="E2127" s="654"/>
      <c r="F2127" s="655"/>
      <c r="H2127" s="653" t="s">
        <v>0</v>
      </c>
      <c r="I2127" s="654"/>
      <c r="J2127" s="655"/>
    </row>
    <row r="2128" spans="4:10">
      <c r="D2128" s="581" t="s">
        <v>1</v>
      </c>
      <c r="E2128" s="543">
        <v>46197</v>
      </c>
      <c r="F2128" s="656" t="s">
        <v>184</v>
      </c>
      <c r="H2128" s="581" t="s">
        <v>1</v>
      </c>
      <c r="I2128" s="543">
        <v>46198</v>
      </c>
      <c r="J2128" s="656" t="s">
        <v>184</v>
      </c>
    </row>
    <row r="2129" spans="4:10">
      <c r="D2129" s="585" t="s">
        <v>2</v>
      </c>
      <c r="E2129" s="585" t="s">
        <v>3</v>
      </c>
      <c r="F2129" s="657"/>
      <c r="H2129" s="585" t="s">
        <v>2</v>
      </c>
      <c r="I2129" s="585" t="s">
        <v>3</v>
      </c>
      <c r="J2129" s="657"/>
    </row>
    <row r="2130" spans="4:10">
      <c r="D2130" s="217" t="s">
        <v>456</v>
      </c>
      <c r="E2130" s="217">
        <v>292</v>
      </c>
      <c r="F2130" s="585">
        <v>876</v>
      </c>
      <c r="H2130" s="217" t="s">
        <v>207</v>
      </c>
      <c r="I2130" s="217">
        <v>203</v>
      </c>
      <c r="J2130" s="585">
        <v>609</v>
      </c>
    </row>
    <row r="2131" spans="4:10">
      <c r="D2131" s="217" t="s">
        <v>207</v>
      </c>
      <c r="E2131" s="217">
        <v>464</v>
      </c>
      <c r="F2131" s="217">
        <v>1392</v>
      </c>
      <c r="H2131" s="217" t="s">
        <v>252</v>
      </c>
      <c r="I2131" s="217">
        <v>400</v>
      </c>
      <c r="J2131" s="217">
        <v>1200</v>
      </c>
    </row>
    <row r="2132" spans="4:10">
      <c r="D2132" s="573"/>
      <c r="E2132" s="575"/>
      <c r="F2132" s="575"/>
      <c r="H2132" s="584" t="s">
        <v>251</v>
      </c>
      <c r="I2132" s="585">
        <v>36</v>
      </c>
      <c r="J2132" s="585">
        <v>108</v>
      </c>
    </row>
    <row r="2133" spans="4:10">
      <c r="D2133" s="217"/>
      <c r="E2133" s="534"/>
      <c r="F2133" s="538"/>
      <c r="H2133" s="217"/>
      <c r="I2133" s="534"/>
      <c r="J2133" s="538"/>
    </row>
    <row r="2134" spans="4:10">
      <c r="D2134" s="371" t="s">
        <v>4</v>
      </c>
      <c r="E2134" s="532">
        <f>SUM(E2130:E2133)</f>
        <v>756</v>
      </c>
      <c r="F2134" s="533">
        <f>SUM(F2130:F2133)</f>
        <v>2268</v>
      </c>
      <c r="H2134" s="371" t="s">
        <v>4</v>
      </c>
      <c r="I2134" s="532">
        <f>SUM(I2130:I2133)</f>
        <v>639</v>
      </c>
      <c r="J2134" s="533">
        <f>SUM(J2130:J2133)</f>
        <v>1917</v>
      </c>
    </row>
    <row r="2136" spans="4:10" ht="15.75" thickBot="1"/>
    <row r="2137" spans="4:10" ht="15.75" thickBot="1">
      <c r="D2137" s="653" t="s">
        <v>0</v>
      </c>
      <c r="E2137" s="654"/>
      <c r="F2137" s="655"/>
      <c r="H2137" s="653" t="s">
        <v>0</v>
      </c>
      <c r="I2137" s="654"/>
      <c r="J2137" s="655"/>
    </row>
    <row r="2138" spans="4:10">
      <c r="D2138" s="586" t="s">
        <v>1</v>
      </c>
      <c r="E2138" s="543">
        <v>46199</v>
      </c>
      <c r="F2138" s="656" t="s">
        <v>184</v>
      </c>
      <c r="H2138" s="586" t="s">
        <v>1</v>
      </c>
      <c r="I2138" s="543">
        <v>46200</v>
      </c>
      <c r="J2138" s="656" t="s">
        <v>184</v>
      </c>
    </row>
    <row r="2139" spans="4:10">
      <c r="D2139" s="588" t="s">
        <v>2</v>
      </c>
      <c r="E2139" s="588" t="s">
        <v>3</v>
      </c>
      <c r="F2139" s="657"/>
      <c r="H2139" s="588" t="s">
        <v>2</v>
      </c>
      <c r="I2139" s="588" t="s">
        <v>3</v>
      </c>
      <c r="J2139" s="657"/>
    </row>
    <row r="2140" spans="4:10">
      <c r="D2140" s="217" t="s">
        <v>251</v>
      </c>
      <c r="E2140" s="217">
        <v>364</v>
      </c>
      <c r="F2140" s="588">
        <v>1092</v>
      </c>
      <c r="H2140" s="217" t="s">
        <v>457</v>
      </c>
      <c r="I2140" s="217">
        <v>171</v>
      </c>
      <c r="J2140" s="588">
        <v>512</v>
      </c>
    </row>
    <row r="2141" spans="4:10">
      <c r="D2141" s="217" t="s">
        <v>457</v>
      </c>
      <c r="E2141" s="217">
        <v>496</v>
      </c>
      <c r="F2141" s="217">
        <v>1488</v>
      </c>
      <c r="H2141" s="217" t="s">
        <v>399</v>
      </c>
      <c r="I2141" s="217">
        <v>667</v>
      </c>
      <c r="J2141" s="217">
        <v>2000</v>
      </c>
    </row>
    <row r="2142" spans="4:10">
      <c r="D2142" s="587"/>
      <c r="E2142" s="588"/>
      <c r="F2142" s="588"/>
      <c r="H2142" s="587"/>
      <c r="I2142" s="588"/>
      <c r="J2142" s="588"/>
    </row>
    <row r="2143" spans="4:10">
      <c r="D2143" s="217"/>
      <c r="E2143" s="534"/>
      <c r="F2143" s="538"/>
      <c r="H2143" s="217"/>
      <c r="I2143" s="534"/>
      <c r="J2143" s="538"/>
    </row>
    <row r="2144" spans="4:10">
      <c r="D2144" s="371" t="s">
        <v>4</v>
      </c>
      <c r="E2144" s="532">
        <f>SUM(E2140:E2143)</f>
        <v>860</v>
      </c>
      <c r="F2144" s="533">
        <f>SUM(F2140:F2143)</f>
        <v>2580</v>
      </c>
      <c r="H2144" s="371" t="s">
        <v>4</v>
      </c>
      <c r="I2144" s="532">
        <f>SUM(I2140:I2143)</f>
        <v>838</v>
      </c>
      <c r="J2144" s="533">
        <f>SUM(J2140:J2143)</f>
        <v>2512</v>
      </c>
    </row>
    <row r="2146" spans="4:10" ht="15.75" thickBot="1"/>
    <row r="2147" spans="4:10" ht="15.75" thickBot="1">
      <c r="D2147" s="653" t="s">
        <v>0</v>
      </c>
      <c r="E2147" s="654"/>
      <c r="F2147" s="655"/>
    </row>
    <row r="2148" spans="4:10">
      <c r="D2148" s="589" t="s">
        <v>1</v>
      </c>
      <c r="E2148" s="543">
        <v>46203</v>
      </c>
      <c r="F2148" s="656" t="s">
        <v>184</v>
      </c>
    </row>
    <row r="2149" spans="4:10">
      <c r="D2149" s="591" t="s">
        <v>2</v>
      </c>
      <c r="E2149" s="591" t="s">
        <v>3</v>
      </c>
      <c r="F2149" s="657"/>
    </row>
    <row r="2150" spans="4:10">
      <c r="D2150" s="217" t="s">
        <v>458</v>
      </c>
      <c r="E2150" s="217">
        <v>554</v>
      </c>
      <c r="F2150" s="591">
        <v>1662</v>
      </c>
    </row>
    <row r="2151" spans="4:10">
      <c r="D2151" s="217" t="s">
        <v>459</v>
      </c>
      <c r="E2151" s="217">
        <v>10</v>
      </c>
      <c r="F2151" s="217">
        <v>30</v>
      </c>
    </row>
    <row r="2152" spans="4:10">
      <c r="D2152" s="590"/>
      <c r="E2152" s="591"/>
      <c r="F2152" s="591"/>
    </row>
    <row r="2153" spans="4:10">
      <c r="D2153" s="217"/>
      <c r="E2153" s="534"/>
      <c r="F2153" s="538"/>
    </row>
    <row r="2154" spans="4:10">
      <c r="D2154" s="371" t="s">
        <v>4</v>
      </c>
      <c r="E2154" s="532">
        <f>SUM(E2150:E2153)</f>
        <v>564</v>
      </c>
      <c r="F2154" s="533">
        <f>SUM(F2150:F2153)</f>
        <v>1692</v>
      </c>
    </row>
    <row r="2156" spans="4:10" ht="15.75" thickBot="1"/>
    <row r="2157" spans="4:10">
      <c r="D2157" s="658" t="s">
        <v>460</v>
      </c>
      <c r="E2157" s="659"/>
      <c r="F2157" s="659"/>
      <c r="G2157" s="659"/>
      <c r="H2157" s="659"/>
      <c r="I2157" s="659"/>
      <c r="J2157" s="660"/>
    </row>
    <row r="2158" spans="4:10" ht="15.75" thickBot="1">
      <c r="D2158" s="661"/>
      <c r="E2158" s="662"/>
      <c r="F2158" s="662"/>
      <c r="G2158" s="662"/>
      <c r="H2158" s="662"/>
      <c r="I2158" s="662"/>
      <c r="J2158" s="663"/>
    </row>
    <row r="2160" spans="4:10" ht="15.75" thickBot="1"/>
    <row r="2161" spans="4:10" ht="15.75" thickBot="1">
      <c r="D2161" s="653" t="s">
        <v>0</v>
      </c>
      <c r="E2161" s="654"/>
      <c r="F2161" s="655"/>
      <c r="H2161" s="653" t="s">
        <v>0</v>
      </c>
      <c r="I2161" s="654"/>
      <c r="J2161" s="655"/>
    </row>
    <row r="2162" spans="4:10">
      <c r="D2162" s="589" t="s">
        <v>1</v>
      </c>
      <c r="E2162" s="543">
        <v>46204</v>
      </c>
      <c r="F2162" s="656" t="s">
        <v>184</v>
      </c>
      <c r="H2162" s="589" t="s">
        <v>1</v>
      </c>
      <c r="I2162" s="543">
        <v>46205</v>
      </c>
      <c r="J2162" s="656" t="s">
        <v>184</v>
      </c>
    </row>
    <row r="2163" spans="4:10">
      <c r="D2163" s="591" t="s">
        <v>2</v>
      </c>
      <c r="E2163" s="591" t="s">
        <v>3</v>
      </c>
      <c r="F2163" s="657"/>
      <c r="H2163" s="591" t="s">
        <v>2</v>
      </c>
      <c r="I2163" s="591" t="s">
        <v>3</v>
      </c>
      <c r="J2163" s="657"/>
    </row>
    <row r="2164" spans="4:10">
      <c r="D2164" s="217" t="s">
        <v>11</v>
      </c>
      <c r="E2164" s="217">
        <v>109</v>
      </c>
      <c r="F2164" s="591">
        <v>327</v>
      </c>
      <c r="H2164" s="217" t="s">
        <v>461</v>
      </c>
      <c r="I2164" s="217">
        <v>710</v>
      </c>
      <c r="J2164" s="591">
        <v>2130</v>
      </c>
    </row>
    <row r="2165" spans="4:10">
      <c r="D2165" s="217"/>
      <c r="E2165" s="217"/>
      <c r="F2165" s="217"/>
      <c r="H2165" s="217"/>
      <c r="I2165" s="217"/>
      <c r="J2165" s="217"/>
    </row>
    <row r="2166" spans="4:10">
      <c r="D2166" s="590"/>
      <c r="E2166" s="591"/>
      <c r="F2166" s="591"/>
      <c r="H2166" s="590"/>
      <c r="I2166" s="591"/>
      <c r="J2166" s="591"/>
    </row>
    <row r="2167" spans="4:10">
      <c r="D2167" s="217"/>
      <c r="E2167" s="534"/>
      <c r="F2167" s="538"/>
      <c r="H2167" s="217"/>
      <c r="I2167" s="534"/>
      <c r="J2167" s="538"/>
    </row>
    <row r="2168" spans="4:10">
      <c r="D2168" s="371" t="s">
        <v>4</v>
      </c>
      <c r="E2168" s="532">
        <f>SUM(E2164:E2167)</f>
        <v>109</v>
      </c>
      <c r="F2168" s="533">
        <f>SUM(F2164:F2167)</f>
        <v>327</v>
      </c>
      <c r="H2168" s="371" t="s">
        <v>4</v>
      </c>
      <c r="I2168" s="532">
        <f>SUM(I2164:I2167)</f>
        <v>710</v>
      </c>
      <c r="J2168" s="533">
        <f>SUM(J2164:J2167)</f>
        <v>2130</v>
      </c>
    </row>
    <row r="2170" spans="4:10" ht="15.75" thickBot="1"/>
    <row r="2171" spans="4:10" ht="15.75" thickBot="1">
      <c r="D2171" s="653" t="s">
        <v>0</v>
      </c>
      <c r="E2171" s="654"/>
      <c r="F2171" s="655"/>
      <c r="H2171" s="653" t="s">
        <v>0</v>
      </c>
      <c r="I2171" s="654"/>
      <c r="J2171" s="655"/>
    </row>
    <row r="2172" spans="4:10">
      <c r="D2172" s="589" t="s">
        <v>1</v>
      </c>
      <c r="E2172" s="543">
        <v>46206</v>
      </c>
      <c r="F2172" s="656" t="s">
        <v>184</v>
      </c>
      <c r="H2172" s="592" t="s">
        <v>1</v>
      </c>
      <c r="I2172" s="543">
        <v>46207</v>
      </c>
      <c r="J2172" s="656" t="s">
        <v>184</v>
      </c>
    </row>
    <row r="2173" spans="4:10">
      <c r="D2173" s="591" t="s">
        <v>2</v>
      </c>
      <c r="E2173" s="591" t="s">
        <v>3</v>
      </c>
      <c r="F2173" s="657"/>
      <c r="H2173" s="594" t="s">
        <v>2</v>
      </c>
      <c r="I2173" s="594" t="s">
        <v>3</v>
      </c>
      <c r="J2173" s="657"/>
    </row>
    <row r="2174" spans="4:10">
      <c r="D2174" s="217" t="s">
        <v>462</v>
      </c>
      <c r="E2174" s="217">
        <v>365</v>
      </c>
      <c r="F2174" s="591">
        <v>2190</v>
      </c>
      <c r="H2174" s="217" t="s">
        <v>11</v>
      </c>
      <c r="I2174" s="217">
        <v>201</v>
      </c>
      <c r="J2174" s="594">
        <v>603</v>
      </c>
    </row>
    <row r="2175" spans="4:10">
      <c r="D2175" s="217" t="s">
        <v>11</v>
      </c>
      <c r="E2175" s="217">
        <v>225</v>
      </c>
      <c r="F2175" s="217">
        <v>675</v>
      </c>
      <c r="H2175" s="217"/>
      <c r="I2175" s="217"/>
      <c r="J2175" s="217"/>
    </row>
    <row r="2176" spans="4:10">
      <c r="D2176" s="590"/>
      <c r="E2176" s="591"/>
      <c r="F2176" s="591"/>
      <c r="H2176" s="593"/>
      <c r="I2176" s="594"/>
      <c r="J2176" s="594"/>
    </row>
    <row r="2177" spans="4:10">
      <c r="D2177" s="217"/>
      <c r="E2177" s="534"/>
      <c r="F2177" s="538"/>
      <c r="H2177" s="217"/>
      <c r="I2177" s="534"/>
      <c r="J2177" s="538"/>
    </row>
    <row r="2178" spans="4:10">
      <c r="D2178" s="371" t="s">
        <v>4</v>
      </c>
      <c r="E2178" s="532">
        <f>SUM(E2174:E2177)</f>
        <v>590</v>
      </c>
      <c r="F2178" s="533">
        <f>SUM(F2174:F2177)</f>
        <v>2865</v>
      </c>
      <c r="H2178" s="371" t="s">
        <v>4</v>
      </c>
      <c r="I2178" s="532">
        <f>SUM(I2174:I2177)</f>
        <v>201</v>
      </c>
      <c r="J2178" s="533">
        <f>SUM(J2174:J2177)</f>
        <v>603</v>
      </c>
    </row>
    <row r="2180" spans="4:10" ht="15.75" thickBot="1"/>
    <row r="2181" spans="4:10" ht="15.75" thickBot="1">
      <c r="D2181" s="653" t="s">
        <v>0</v>
      </c>
      <c r="E2181" s="654"/>
      <c r="F2181" s="655"/>
      <c r="H2181" s="653" t="s">
        <v>0</v>
      </c>
      <c r="I2181" s="654"/>
      <c r="J2181" s="655"/>
    </row>
    <row r="2182" spans="4:10">
      <c r="D2182" s="595" t="s">
        <v>1</v>
      </c>
      <c r="E2182" s="543">
        <v>46210</v>
      </c>
      <c r="F2182" s="656" t="s">
        <v>184</v>
      </c>
      <c r="H2182" s="595" t="s">
        <v>1</v>
      </c>
      <c r="I2182" s="543">
        <v>46211</v>
      </c>
      <c r="J2182" s="656" t="s">
        <v>184</v>
      </c>
    </row>
    <row r="2183" spans="4:10">
      <c r="D2183" s="597" t="s">
        <v>2</v>
      </c>
      <c r="E2183" s="597" t="s">
        <v>3</v>
      </c>
      <c r="F2183" s="657"/>
      <c r="H2183" s="597" t="s">
        <v>2</v>
      </c>
      <c r="I2183" s="597" t="s">
        <v>3</v>
      </c>
      <c r="J2183" s="657"/>
    </row>
    <row r="2184" spans="4:10">
      <c r="D2184" s="217" t="s">
        <v>11</v>
      </c>
      <c r="E2184" s="217"/>
      <c r="F2184" s="597"/>
      <c r="H2184" s="217" t="s">
        <v>34</v>
      </c>
      <c r="I2184" s="217">
        <v>399</v>
      </c>
      <c r="J2184" s="597">
        <v>1197</v>
      </c>
    </row>
    <row r="2185" spans="4:10">
      <c r="D2185" s="217"/>
      <c r="E2185" s="217"/>
      <c r="F2185" s="217"/>
      <c r="H2185" s="217" t="s">
        <v>8</v>
      </c>
      <c r="I2185" s="217">
        <v>134</v>
      </c>
      <c r="J2185" s="217">
        <v>402</v>
      </c>
    </row>
    <row r="2186" spans="4:10">
      <c r="D2186" s="596"/>
      <c r="E2186" s="597"/>
      <c r="F2186" s="597"/>
      <c r="H2186" s="596" t="s">
        <v>464</v>
      </c>
      <c r="I2186" s="597">
        <v>34</v>
      </c>
      <c r="J2186" s="597">
        <v>102</v>
      </c>
    </row>
    <row r="2187" spans="4:10">
      <c r="D2187" s="217"/>
      <c r="E2187" s="534"/>
      <c r="F2187" s="538"/>
      <c r="H2187" s="217"/>
      <c r="I2187" s="534"/>
      <c r="J2187" s="538"/>
    </row>
    <row r="2188" spans="4:10">
      <c r="D2188" s="371" t="s">
        <v>4</v>
      </c>
      <c r="E2188" s="532">
        <f>SUM(E2184:E2187)</f>
        <v>0</v>
      </c>
      <c r="F2188" s="533">
        <f>SUM(F2184:F2187)</f>
        <v>0</v>
      </c>
      <c r="H2188" s="371" t="s">
        <v>4</v>
      </c>
      <c r="I2188" s="532">
        <f>SUM(I2184:I2187)</f>
        <v>567</v>
      </c>
      <c r="J2188" s="533">
        <f>SUM(J2184:J2187)</f>
        <v>1701</v>
      </c>
    </row>
    <row r="2190" spans="4:10" ht="15.75" thickBot="1"/>
    <row r="2191" spans="4:10" ht="15.75" customHeight="1" thickBot="1">
      <c r="D2191" s="653" t="s">
        <v>0</v>
      </c>
      <c r="E2191" s="654"/>
      <c r="F2191" s="655"/>
      <c r="H2191" s="653" t="s">
        <v>0</v>
      </c>
      <c r="I2191" s="654"/>
      <c r="J2191" s="655"/>
    </row>
    <row r="2192" spans="4:10">
      <c r="D2192" s="598" t="s">
        <v>1</v>
      </c>
      <c r="E2192" s="543">
        <v>46212</v>
      </c>
      <c r="F2192" s="656" t="s">
        <v>184</v>
      </c>
      <c r="H2192" s="601" t="s">
        <v>1</v>
      </c>
      <c r="I2192" s="543">
        <v>46216</v>
      </c>
      <c r="J2192" s="656" t="s">
        <v>184</v>
      </c>
    </row>
    <row r="2193" spans="4:10">
      <c r="D2193" s="600" t="s">
        <v>2</v>
      </c>
      <c r="E2193" s="600" t="s">
        <v>3</v>
      </c>
      <c r="F2193" s="657"/>
      <c r="H2193" s="603" t="s">
        <v>2</v>
      </c>
      <c r="I2193" s="603" t="s">
        <v>3</v>
      </c>
      <c r="J2193" s="657"/>
    </row>
    <row r="2194" spans="4:10">
      <c r="D2194" s="599" t="s">
        <v>464</v>
      </c>
      <c r="E2194" s="217">
        <v>490</v>
      </c>
      <c r="F2194" s="600">
        <v>1470</v>
      </c>
      <c r="H2194" s="602" t="s">
        <v>331</v>
      </c>
      <c r="I2194" s="217">
        <v>359</v>
      </c>
      <c r="J2194" s="603">
        <v>1077</v>
      </c>
    </row>
    <row r="2195" spans="4:10">
      <c r="D2195" s="604"/>
      <c r="E2195" s="217"/>
      <c r="F2195" s="217"/>
      <c r="H2195" s="608" t="s">
        <v>367</v>
      </c>
      <c r="I2195" s="217">
        <v>217</v>
      </c>
      <c r="J2195" s="217">
        <v>651</v>
      </c>
    </row>
    <row r="2196" spans="4:10">
      <c r="D2196" s="257"/>
      <c r="E2196" s="600"/>
      <c r="F2196" s="600"/>
      <c r="H2196" s="257"/>
      <c r="I2196" s="603"/>
      <c r="J2196" s="603"/>
    </row>
    <row r="2197" spans="4:10">
      <c r="D2197" s="217"/>
      <c r="E2197" s="534"/>
      <c r="F2197" s="538"/>
      <c r="H2197" s="217"/>
      <c r="I2197" s="534"/>
      <c r="J2197" s="538"/>
    </row>
    <row r="2198" spans="4:10">
      <c r="D2198" s="371" t="s">
        <v>4</v>
      </c>
      <c r="E2198" s="532">
        <f>SUM(E2194:E2197)</f>
        <v>490</v>
      </c>
      <c r="F2198" s="533">
        <f>SUM(F2194:F2197)</f>
        <v>1470</v>
      </c>
      <c r="H2198" s="371" t="s">
        <v>4</v>
      </c>
      <c r="I2198" s="532">
        <f>SUM(I2194:I2197)</f>
        <v>576</v>
      </c>
      <c r="J2198" s="533">
        <f>SUM(J2194:J2197)</f>
        <v>1728</v>
      </c>
    </row>
    <row r="2200" spans="4:10" ht="15.75" thickBot="1"/>
    <row r="2201" spans="4:10" ht="15.75" thickBot="1">
      <c r="D2201" s="653" t="s">
        <v>0</v>
      </c>
      <c r="E2201" s="654"/>
      <c r="F2201" s="655"/>
      <c r="H2201" s="653" t="s">
        <v>0</v>
      </c>
      <c r="I2201" s="654"/>
      <c r="J2201" s="655"/>
    </row>
    <row r="2202" spans="4:10">
      <c r="D2202" s="601" t="s">
        <v>1</v>
      </c>
      <c r="E2202" s="543">
        <v>46217</v>
      </c>
      <c r="F2202" s="656" t="s">
        <v>184</v>
      </c>
      <c r="H2202" s="601" t="s">
        <v>1</v>
      </c>
      <c r="I2202" s="543">
        <v>46218</v>
      </c>
      <c r="J2202" s="656" t="s">
        <v>184</v>
      </c>
    </row>
    <row r="2203" spans="4:10">
      <c r="D2203" s="603" t="s">
        <v>2</v>
      </c>
      <c r="E2203" s="603" t="s">
        <v>3</v>
      </c>
      <c r="F2203" s="657"/>
      <c r="H2203" s="603" t="s">
        <v>2</v>
      </c>
      <c r="I2203" s="603" t="s">
        <v>3</v>
      </c>
      <c r="J2203" s="657"/>
    </row>
    <row r="2204" spans="4:10">
      <c r="D2204" s="602" t="s">
        <v>367</v>
      </c>
      <c r="E2204" s="217">
        <v>450</v>
      </c>
      <c r="F2204" s="603">
        <v>1350</v>
      </c>
      <c r="H2204" s="602" t="s">
        <v>252</v>
      </c>
      <c r="I2204" s="217">
        <v>295</v>
      </c>
      <c r="J2204" s="603">
        <v>884</v>
      </c>
    </row>
    <row r="2205" spans="4:10">
      <c r="D2205" s="608" t="s">
        <v>252</v>
      </c>
      <c r="E2205" s="217">
        <v>372</v>
      </c>
      <c r="F2205" s="217">
        <v>1116</v>
      </c>
      <c r="H2205" s="608" t="s">
        <v>5</v>
      </c>
      <c r="I2205" s="609">
        <v>421</v>
      </c>
      <c r="J2205" s="217">
        <v>1263</v>
      </c>
    </row>
    <row r="2206" spans="4:10">
      <c r="D2206" s="257"/>
      <c r="E2206" s="603"/>
      <c r="F2206" s="603"/>
      <c r="H2206" s="257"/>
      <c r="I2206" s="603"/>
      <c r="J2206" s="603"/>
    </row>
    <row r="2207" spans="4:10">
      <c r="D2207" s="217"/>
      <c r="E2207" s="534"/>
      <c r="F2207" s="538"/>
      <c r="H2207" s="217"/>
      <c r="I2207" s="534"/>
      <c r="J2207" s="538"/>
    </row>
    <row r="2208" spans="4:10">
      <c r="D2208" s="371" t="s">
        <v>4</v>
      </c>
      <c r="E2208" s="532">
        <f>SUM(E2204:E2207)</f>
        <v>822</v>
      </c>
      <c r="F2208" s="533">
        <f>SUM(F2204:F2207)</f>
        <v>2466</v>
      </c>
      <c r="H2208" s="371" t="s">
        <v>4</v>
      </c>
      <c r="I2208" s="532">
        <f>SUM(I2204:I2207)</f>
        <v>716</v>
      </c>
      <c r="J2208" s="533">
        <f>SUM(J2204:J2207)</f>
        <v>2147</v>
      </c>
    </row>
    <row r="2210" spans="4:10" ht="15.75" thickBot="1"/>
    <row r="2211" spans="4:10" ht="15.75" thickBot="1">
      <c r="D2211" s="653" t="s">
        <v>0</v>
      </c>
      <c r="E2211" s="654"/>
      <c r="F2211" s="655"/>
      <c r="H2211" s="653" t="s">
        <v>0</v>
      </c>
      <c r="I2211" s="654"/>
      <c r="J2211" s="655"/>
    </row>
    <row r="2212" spans="4:10">
      <c r="D2212" s="601" t="s">
        <v>1</v>
      </c>
      <c r="E2212" s="543">
        <v>46219</v>
      </c>
      <c r="F2212" s="656" t="s">
        <v>184</v>
      </c>
      <c r="H2212" s="601" t="s">
        <v>1</v>
      </c>
      <c r="I2212" s="543">
        <v>46220</v>
      </c>
      <c r="J2212" s="656" t="s">
        <v>184</v>
      </c>
    </row>
    <row r="2213" spans="4:10">
      <c r="D2213" s="603" t="s">
        <v>2</v>
      </c>
      <c r="E2213" s="603" t="s">
        <v>3</v>
      </c>
      <c r="F2213" s="657"/>
      <c r="H2213" s="603" t="s">
        <v>2</v>
      </c>
      <c r="I2213" s="603" t="s">
        <v>3</v>
      </c>
      <c r="J2213" s="657"/>
    </row>
    <row r="2214" spans="4:10">
      <c r="D2214" s="602" t="s">
        <v>5</v>
      </c>
      <c r="E2214" s="217">
        <v>96</v>
      </c>
      <c r="F2214" s="603">
        <v>288</v>
      </c>
      <c r="H2214" s="602" t="s">
        <v>466</v>
      </c>
      <c r="I2214" s="217">
        <v>300</v>
      </c>
      <c r="J2214" s="603">
        <v>900</v>
      </c>
    </row>
    <row r="2215" spans="4:10">
      <c r="D2215" s="608" t="s">
        <v>465</v>
      </c>
      <c r="E2215" s="609">
        <v>300</v>
      </c>
      <c r="F2215" s="217">
        <v>900</v>
      </c>
      <c r="H2215" s="608" t="s">
        <v>467</v>
      </c>
      <c r="I2215" s="609">
        <v>300</v>
      </c>
      <c r="J2215" s="217">
        <v>900</v>
      </c>
    </row>
    <row r="2216" spans="4:10">
      <c r="D2216" s="257"/>
      <c r="E2216" s="603"/>
      <c r="F2216" s="603"/>
      <c r="H2216" s="257"/>
      <c r="I2216" s="603"/>
      <c r="J2216" s="603"/>
    </row>
    <row r="2217" spans="4:10">
      <c r="D2217" s="217"/>
      <c r="E2217" s="534"/>
      <c r="F2217" s="538"/>
      <c r="H2217" s="217"/>
      <c r="I2217" s="534"/>
      <c r="J2217" s="538"/>
    </row>
    <row r="2218" spans="4:10">
      <c r="D2218" s="371" t="s">
        <v>4</v>
      </c>
      <c r="E2218" s="532">
        <f>SUM(E2214:E2217)</f>
        <v>396</v>
      </c>
      <c r="F2218" s="533">
        <f>SUM(F2214:F2217)</f>
        <v>1188</v>
      </c>
      <c r="H2218" s="371" t="s">
        <v>4</v>
      </c>
      <c r="I2218" s="532">
        <f>SUM(I2214:I2217)</f>
        <v>600</v>
      </c>
      <c r="J2218" s="533">
        <f>SUM(J2214:J2217)</f>
        <v>1800</v>
      </c>
    </row>
    <row r="2220" spans="4:10" ht="15.75" thickBot="1"/>
    <row r="2221" spans="4:10" ht="15.75" customHeight="1" thickBot="1">
      <c r="D2221" s="653" t="s">
        <v>0</v>
      </c>
      <c r="E2221" s="654"/>
      <c r="F2221" s="655"/>
      <c r="H2221" s="653" t="s">
        <v>0</v>
      </c>
      <c r="I2221" s="654"/>
      <c r="J2221" s="655"/>
    </row>
    <row r="2222" spans="4:10">
      <c r="D2222" s="601" t="s">
        <v>1</v>
      </c>
      <c r="E2222" s="543">
        <v>46221</v>
      </c>
      <c r="F2222" s="656" t="s">
        <v>184</v>
      </c>
      <c r="H2222" s="601" t="s">
        <v>1</v>
      </c>
      <c r="I2222" s="543">
        <v>46224</v>
      </c>
      <c r="J2222" s="656" t="s">
        <v>184</v>
      </c>
    </row>
    <row r="2223" spans="4:10">
      <c r="D2223" s="603" t="s">
        <v>2</v>
      </c>
      <c r="E2223" s="603" t="s">
        <v>3</v>
      </c>
      <c r="F2223" s="657"/>
      <c r="H2223" s="603" t="s">
        <v>2</v>
      </c>
      <c r="I2223" s="603" t="s">
        <v>3</v>
      </c>
      <c r="J2223" s="657"/>
    </row>
    <row r="2224" spans="4:10">
      <c r="D2224" s="602" t="s">
        <v>468</v>
      </c>
      <c r="E2224" s="217">
        <v>300</v>
      </c>
      <c r="F2224" s="603">
        <v>900</v>
      </c>
      <c r="H2224" s="602" t="s">
        <v>331</v>
      </c>
      <c r="I2224" s="217">
        <v>159</v>
      </c>
      <c r="J2224" s="603">
        <v>477</v>
      </c>
    </row>
    <row r="2225" spans="4:10">
      <c r="D2225" s="608" t="s">
        <v>469</v>
      </c>
      <c r="E2225" s="609">
        <v>165</v>
      </c>
      <c r="F2225" s="217">
        <v>495</v>
      </c>
      <c r="H2225" s="608" t="s">
        <v>5</v>
      </c>
      <c r="I2225" s="609">
        <v>150</v>
      </c>
      <c r="J2225" s="217">
        <v>450</v>
      </c>
    </row>
    <row r="2226" spans="4:10">
      <c r="D2226" s="257"/>
      <c r="E2226" s="603"/>
      <c r="F2226" s="603"/>
      <c r="H2226" s="217" t="s">
        <v>455</v>
      </c>
      <c r="I2226" s="603">
        <v>105</v>
      </c>
      <c r="J2226" s="603">
        <v>315</v>
      </c>
    </row>
    <row r="2227" spans="4:10">
      <c r="D2227" s="217"/>
      <c r="E2227" s="534"/>
      <c r="F2227" s="538"/>
      <c r="H2227" s="217"/>
      <c r="I2227" s="534"/>
      <c r="J2227" s="538"/>
    </row>
    <row r="2228" spans="4:10">
      <c r="D2228" s="371" t="s">
        <v>4</v>
      </c>
      <c r="E2228" s="532">
        <f>SUM(E2224:E2227)</f>
        <v>465</v>
      </c>
      <c r="F2228" s="533">
        <f>SUM(F2224:F2227)</f>
        <v>1395</v>
      </c>
      <c r="H2228" s="371" t="s">
        <v>4</v>
      </c>
      <c r="I2228" s="532">
        <f>SUM(I2224:I2227)</f>
        <v>414</v>
      </c>
      <c r="J2228" s="533">
        <f>SUM(J2224:J2227)</f>
        <v>1242</v>
      </c>
    </row>
    <row r="2230" spans="4:10" ht="15.75" thickBot="1"/>
    <row r="2231" spans="4:10" ht="15.75" thickBot="1">
      <c r="D2231" s="653" t="s">
        <v>0</v>
      </c>
      <c r="E2231" s="654"/>
      <c r="F2231" s="655"/>
      <c r="H2231" s="653" t="s">
        <v>0</v>
      </c>
      <c r="I2231" s="654"/>
      <c r="J2231" s="655"/>
    </row>
    <row r="2232" spans="4:10">
      <c r="D2232" s="601" t="s">
        <v>1</v>
      </c>
      <c r="E2232" s="543">
        <v>46225</v>
      </c>
      <c r="F2232" s="656" t="s">
        <v>184</v>
      </c>
      <c r="H2232" s="605" t="s">
        <v>1</v>
      </c>
      <c r="I2232" s="543">
        <v>46226</v>
      </c>
      <c r="J2232" s="656" t="s">
        <v>184</v>
      </c>
    </row>
    <row r="2233" spans="4:10">
      <c r="D2233" s="603" t="s">
        <v>2</v>
      </c>
      <c r="E2233" s="603" t="s">
        <v>3</v>
      </c>
      <c r="F2233" s="657"/>
      <c r="H2233" s="607" t="s">
        <v>2</v>
      </c>
      <c r="I2233" s="607" t="s">
        <v>3</v>
      </c>
      <c r="J2233" s="657"/>
    </row>
    <row r="2234" spans="4:10">
      <c r="D2234" s="602" t="s">
        <v>455</v>
      </c>
      <c r="E2234" s="217">
        <v>562</v>
      </c>
      <c r="F2234" s="603">
        <v>1686</v>
      </c>
      <c r="H2234" s="606" t="s">
        <v>251</v>
      </c>
      <c r="I2234" s="217">
        <v>678</v>
      </c>
      <c r="J2234" s="607">
        <v>2034</v>
      </c>
    </row>
    <row r="2235" spans="4:10">
      <c r="D2235" s="608" t="s">
        <v>251</v>
      </c>
      <c r="E2235" s="609">
        <v>122</v>
      </c>
      <c r="F2235" s="217">
        <v>366</v>
      </c>
      <c r="H2235" s="608"/>
      <c r="I2235" s="609"/>
      <c r="J2235" s="217"/>
    </row>
    <row r="2236" spans="4:10">
      <c r="D2236" s="217"/>
      <c r="E2236" s="603"/>
      <c r="F2236" s="603"/>
      <c r="H2236" s="217"/>
      <c r="I2236" s="607"/>
      <c r="J2236" s="607"/>
    </row>
    <row r="2237" spans="4:10">
      <c r="D2237" s="217"/>
      <c r="E2237" s="534"/>
      <c r="F2237" s="538"/>
      <c r="H2237" s="217"/>
      <c r="I2237" s="534"/>
      <c r="J2237" s="538"/>
    </row>
    <row r="2238" spans="4:10">
      <c r="D2238" s="371" t="s">
        <v>4</v>
      </c>
      <c r="E2238" s="532">
        <f>SUM(E2234:E2237)</f>
        <v>684</v>
      </c>
      <c r="F2238" s="533">
        <f>SUM(F2234:F2237)</f>
        <v>2052</v>
      </c>
      <c r="H2238" s="371" t="s">
        <v>4</v>
      </c>
      <c r="I2238" s="532">
        <f>SUM(I2234:I2237)</f>
        <v>678</v>
      </c>
      <c r="J2238" s="533">
        <f>SUM(J2234:J2237)</f>
        <v>2034</v>
      </c>
    </row>
    <row r="2240" spans="4:10" ht="15.75" thickBot="1"/>
    <row r="2241" spans="4:10" ht="15.75" thickBot="1">
      <c r="D2241" s="653" t="s">
        <v>0</v>
      </c>
      <c r="E2241" s="654"/>
      <c r="F2241" s="655"/>
      <c r="H2241" s="653" t="s">
        <v>0</v>
      </c>
      <c r="I2241" s="654"/>
      <c r="J2241" s="655"/>
    </row>
    <row r="2242" spans="4:10">
      <c r="D2242" s="610" t="s">
        <v>1</v>
      </c>
      <c r="E2242" s="543">
        <v>46227</v>
      </c>
      <c r="F2242" s="656" t="s">
        <v>184</v>
      </c>
      <c r="H2242" s="613" t="s">
        <v>1</v>
      </c>
      <c r="I2242" s="543">
        <v>46228</v>
      </c>
      <c r="J2242" s="656" t="s">
        <v>184</v>
      </c>
    </row>
    <row r="2243" spans="4:10">
      <c r="D2243" s="612" t="s">
        <v>2</v>
      </c>
      <c r="E2243" s="612" t="s">
        <v>3</v>
      </c>
      <c r="F2243" s="657"/>
      <c r="H2243" s="615" t="s">
        <v>2</v>
      </c>
      <c r="I2243" s="615" t="s">
        <v>3</v>
      </c>
      <c r="J2243" s="657"/>
    </row>
    <row r="2244" spans="4:10">
      <c r="D2244" s="611" t="s">
        <v>207</v>
      </c>
      <c r="E2244" s="217">
        <v>800</v>
      </c>
      <c r="F2244" s="612">
        <v>2400</v>
      </c>
      <c r="H2244" s="614" t="s">
        <v>435</v>
      </c>
      <c r="I2244" s="217">
        <v>618</v>
      </c>
      <c r="J2244" s="615">
        <v>1854</v>
      </c>
    </row>
    <row r="2245" spans="4:10">
      <c r="D2245" s="608"/>
      <c r="E2245" s="609"/>
      <c r="F2245" s="217"/>
      <c r="H2245" s="608"/>
      <c r="I2245" s="609"/>
      <c r="J2245" s="217"/>
    </row>
    <row r="2246" spans="4:10">
      <c r="D2246" s="217"/>
      <c r="E2246" s="612"/>
      <c r="F2246" s="612"/>
      <c r="H2246" s="217"/>
      <c r="I2246" s="615"/>
      <c r="J2246" s="615"/>
    </row>
    <row r="2247" spans="4:10">
      <c r="D2247" s="217"/>
      <c r="E2247" s="534"/>
      <c r="F2247" s="538"/>
      <c r="H2247" s="217"/>
      <c r="I2247" s="534"/>
      <c r="J2247" s="538"/>
    </row>
    <row r="2248" spans="4:10">
      <c r="D2248" s="371" t="s">
        <v>4</v>
      </c>
      <c r="E2248" s="532">
        <f>SUM(E2244:E2247)</f>
        <v>800</v>
      </c>
      <c r="F2248" s="533">
        <f>SUM(F2244:F2247)</f>
        <v>2400</v>
      </c>
      <c r="H2248" s="371" t="s">
        <v>4</v>
      </c>
      <c r="I2248" s="532">
        <f>SUM(I2244:I2247)</f>
        <v>618</v>
      </c>
      <c r="J2248" s="533">
        <f>SUM(J2244:J2247)</f>
        <v>1854</v>
      </c>
    </row>
    <row r="2250" spans="4:10" ht="15.75" thickBot="1"/>
    <row r="2251" spans="4:10" ht="15.75" customHeight="1" thickBot="1">
      <c r="D2251" s="653" t="s">
        <v>0</v>
      </c>
      <c r="E2251" s="654"/>
      <c r="F2251" s="655"/>
      <c r="H2251" s="653" t="s">
        <v>0</v>
      </c>
      <c r="I2251" s="654"/>
      <c r="J2251" s="655"/>
    </row>
    <row r="2252" spans="4:10">
      <c r="D2252" s="617" t="s">
        <v>1</v>
      </c>
      <c r="E2252" s="543">
        <v>46230</v>
      </c>
      <c r="F2252" s="616" t="s">
        <v>184</v>
      </c>
      <c r="H2252" s="617" t="s">
        <v>1</v>
      </c>
      <c r="I2252" s="543">
        <v>46231</v>
      </c>
      <c r="J2252" s="616" t="s">
        <v>184</v>
      </c>
    </row>
    <row r="2253" spans="4:10">
      <c r="D2253" s="619" t="s">
        <v>2</v>
      </c>
      <c r="E2253" s="619" t="s">
        <v>3</v>
      </c>
      <c r="F2253" s="617"/>
      <c r="H2253" s="619" t="s">
        <v>2</v>
      </c>
      <c r="I2253" s="619" t="s">
        <v>3</v>
      </c>
      <c r="J2253" s="617"/>
    </row>
    <row r="2254" spans="4:10">
      <c r="D2254" s="618" t="s">
        <v>470</v>
      </c>
      <c r="E2254" s="217">
        <v>816</v>
      </c>
      <c r="F2254" s="619">
        <v>2448</v>
      </c>
      <c r="H2254" s="608" t="s">
        <v>420</v>
      </c>
      <c r="I2254" s="609">
        <v>112</v>
      </c>
      <c r="J2254" s="217">
        <v>336</v>
      </c>
    </row>
    <row r="2255" spans="4:10">
      <c r="D2255" s="608" t="s">
        <v>420</v>
      </c>
      <c r="E2255" s="609">
        <v>70</v>
      </c>
      <c r="F2255" s="217">
        <v>210</v>
      </c>
      <c r="H2255" s="624" t="s">
        <v>471</v>
      </c>
      <c r="I2255" s="624">
        <v>33</v>
      </c>
      <c r="J2255" s="624">
        <v>99</v>
      </c>
    </row>
    <row r="2256" spans="4:10">
      <c r="D2256" s="217"/>
      <c r="E2256" s="619"/>
      <c r="F2256" s="619"/>
      <c r="H2256" s="217" t="s">
        <v>471</v>
      </c>
      <c r="I2256" s="619">
        <v>33</v>
      </c>
      <c r="J2256" s="619">
        <v>99</v>
      </c>
    </row>
    <row r="2257" spans="4:11">
      <c r="D2257" s="217"/>
      <c r="E2257" s="534"/>
      <c r="F2257" s="538"/>
      <c r="H2257" s="217"/>
      <c r="I2257" s="534"/>
      <c r="J2257" s="538"/>
    </row>
    <row r="2258" spans="4:11">
      <c r="D2258" s="371" t="s">
        <v>4</v>
      </c>
      <c r="E2258" s="532">
        <f>SUM(E2254:E2257)</f>
        <v>886</v>
      </c>
      <c r="F2258" s="533">
        <f>SUM(F2254:F2257)</f>
        <v>2658</v>
      </c>
      <c r="H2258" s="371" t="s">
        <v>4</v>
      </c>
      <c r="I2258" s="532">
        <f>SUM(I2254:I2257)</f>
        <v>178</v>
      </c>
      <c r="J2258" s="533">
        <f>SUM(J2254:J2257)</f>
        <v>534</v>
      </c>
    </row>
    <row r="2260" spans="4:11" ht="15.75" thickBot="1"/>
    <row r="2261" spans="4:11" ht="15.75" thickBot="1">
      <c r="D2261" s="653" t="s">
        <v>0</v>
      </c>
      <c r="E2261" s="654"/>
      <c r="F2261" s="655"/>
      <c r="H2261" s="653" t="s">
        <v>0</v>
      </c>
      <c r="I2261" s="654"/>
      <c r="J2261" s="655"/>
    </row>
    <row r="2262" spans="4:11">
      <c r="D2262" s="617" t="s">
        <v>1</v>
      </c>
      <c r="E2262" s="543">
        <v>46232</v>
      </c>
      <c r="F2262" s="616" t="s">
        <v>184</v>
      </c>
      <c r="H2262" s="621" t="s">
        <v>1</v>
      </c>
      <c r="I2262" s="543">
        <v>46233</v>
      </c>
      <c r="J2262" s="656" t="s">
        <v>184</v>
      </c>
    </row>
    <row r="2263" spans="4:11">
      <c r="D2263" s="619" t="s">
        <v>2</v>
      </c>
      <c r="E2263" s="619" t="s">
        <v>3</v>
      </c>
      <c r="F2263" s="617"/>
      <c r="H2263" s="623" t="s">
        <v>2</v>
      </c>
      <c r="I2263" s="623" t="s">
        <v>3</v>
      </c>
      <c r="J2263" s="657"/>
    </row>
    <row r="2264" spans="4:11">
      <c r="D2264" s="618" t="s">
        <v>472</v>
      </c>
      <c r="E2264" s="217">
        <v>33</v>
      </c>
      <c r="F2264" s="619">
        <v>99</v>
      </c>
      <c r="H2264" s="622" t="s">
        <v>470</v>
      </c>
      <c r="I2264" s="217">
        <v>109</v>
      </c>
      <c r="J2264" s="623">
        <v>327</v>
      </c>
    </row>
    <row r="2265" spans="4:11">
      <c r="D2265" s="608" t="s">
        <v>473</v>
      </c>
      <c r="E2265" s="609">
        <v>33</v>
      </c>
      <c r="F2265" s="217">
        <v>99</v>
      </c>
      <c r="H2265" s="608" t="s">
        <v>474</v>
      </c>
      <c r="I2265" s="609">
        <v>667</v>
      </c>
      <c r="J2265" s="217">
        <v>2000</v>
      </c>
    </row>
    <row r="2266" spans="4:11">
      <c r="D2266" s="217" t="s">
        <v>470</v>
      </c>
      <c r="E2266" s="619">
        <v>644</v>
      </c>
      <c r="F2266" s="619">
        <v>1932</v>
      </c>
      <c r="H2266" s="217"/>
      <c r="I2266" s="623"/>
      <c r="J2266" s="623"/>
    </row>
    <row r="2267" spans="4:11">
      <c r="D2267" s="217"/>
      <c r="E2267" s="534"/>
      <c r="F2267" s="538"/>
      <c r="H2267" s="217"/>
      <c r="I2267" s="534"/>
      <c r="J2267" s="538"/>
      <c r="K2267">
        <v>10</v>
      </c>
    </row>
    <row r="2268" spans="4:11">
      <c r="D2268" s="371" t="s">
        <v>4</v>
      </c>
      <c r="E2268" s="532">
        <f>SUM(E2264:E2267)</f>
        <v>710</v>
      </c>
      <c r="F2268" s="533">
        <f>SUM(F2264:F2267)</f>
        <v>2130</v>
      </c>
      <c r="H2268" s="371" t="s">
        <v>4</v>
      </c>
      <c r="I2268" s="532">
        <f>SUM(I2264:I2267)</f>
        <v>776</v>
      </c>
      <c r="J2268" s="533">
        <f>SUM(J2264:J2267)</f>
        <v>2327</v>
      </c>
    </row>
    <row r="2270" spans="4:11" ht="15.75" thickBot="1"/>
    <row r="2271" spans="4:11" ht="15.75" thickBot="1">
      <c r="D2271" s="653" t="s">
        <v>0</v>
      </c>
      <c r="E2271" s="654"/>
      <c r="F2271" s="655"/>
    </row>
    <row r="2272" spans="4:11">
      <c r="D2272" s="621" t="s">
        <v>1</v>
      </c>
      <c r="E2272" s="543">
        <v>46234</v>
      </c>
      <c r="F2272" s="620" t="s">
        <v>184</v>
      </c>
    </row>
    <row r="2273" spans="4:10">
      <c r="D2273" s="623" t="s">
        <v>2</v>
      </c>
      <c r="E2273" s="623" t="s">
        <v>3</v>
      </c>
      <c r="F2273" s="621"/>
    </row>
    <row r="2274" spans="4:10">
      <c r="D2274" s="622" t="s">
        <v>380</v>
      </c>
      <c r="E2274" s="217">
        <v>862</v>
      </c>
      <c r="F2274" s="623">
        <v>4310</v>
      </c>
    </row>
    <row r="2275" spans="4:10">
      <c r="D2275" s="608" t="s">
        <v>226</v>
      </c>
      <c r="E2275" s="609">
        <v>16</v>
      </c>
      <c r="F2275" s="217">
        <v>80</v>
      </c>
    </row>
    <row r="2276" spans="4:10">
      <c r="D2276" s="217"/>
      <c r="E2276" s="623"/>
      <c r="F2276" s="623"/>
    </row>
    <row r="2277" spans="4:10">
      <c r="D2277" s="217"/>
      <c r="E2277" s="534"/>
      <c r="F2277" s="538"/>
    </row>
    <row r="2278" spans="4:10">
      <c r="D2278" s="371" t="s">
        <v>4</v>
      </c>
      <c r="E2278" s="532">
        <f>SUM(E2274:E2277)</f>
        <v>878</v>
      </c>
      <c r="F2278" s="533">
        <f>SUM(F2274:F2277)</f>
        <v>4390</v>
      </c>
    </row>
    <row r="2281" spans="4:10" ht="15.75" thickBot="1"/>
    <row r="2282" spans="4:10">
      <c r="D2282" s="658" t="s">
        <v>475</v>
      </c>
      <c r="E2282" s="659"/>
      <c r="F2282" s="659"/>
      <c r="G2282" s="659"/>
      <c r="H2282" s="659"/>
      <c r="I2282" s="659"/>
      <c r="J2282" s="660"/>
    </row>
    <row r="2283" spans="4:10" ht="15.75" thickBot="1">
      <c r="D2283" s="661"/>
      <c r="E2283" s="662"/>
      <c r="F2283" s="662"/>
      <c r="G2283" s="662"/>
      <c r="H2283" s="662"/>
      <c r="I2283" s="662"/>
      <c r="J2283" s="663"/>
    </row>
    <row r="2285" spans="4:10" ht="15.75" thickBot="1"/>
    <row r="2286" spans="4:10" ht="15.75" thickBot="1">
      <c r="D2286" s="653" t="s">
        <v>0</v>
      </c>
      <c r="E2286" s="654"/>
      <c r="F2286" s="655"/>
      <c r="H2286" s="653" t="s">
        <v>0</v>
      </c>
      <c r="I2286" s="654"/>
      <c r="J2286" s="655"/>
    </row>
    <row r="2287" spans="4:10">
      <c r="D2287" s="621" t="s">
        <v>1</v>
      </c>
      <c r="E2287" s="543">
        <v>46235</v>
      </c>
      <c r="F2287" s="620" t="s">
        <v>184</v>
      </c>
      <c r="H2287" s="625" t="s">
        <v>1</v>
      </c>
      <c r="I2287" s="543">
        <v>46237</v>
      </c>
      <c r="J2287" s="656" t="s">
        <v>184</v>
      </c>
    </row>
    <row r="2288" spans="4:10">
      <c r="D2288" s="623" t="s">
        <v>2</v>
      </c>
      <c r="E2288" s="623" t="s">
        <v>3</v>
      </c>
      <c r="F2288" s="621"/>
      <c r="H2288" s="627" t="s">
        <v>2</v>
      </c>
      <c r="I2288" s="627" t="s">
        <v>3</v>
      </c>
      <c r="J2288" s="657"/>
    </row>
    <row r="2289" spans="4:10">
      <c r="D2289" s="622" t="s">
        <v>25</v>
      </c>
      <c r="E2289" s="217">
        <v>828</v>
      </c>
      <c r="F2289" s="623">
        <v>4140</v>
      </c>
      <c r="H2289" s="626" t="s">
        <v>476</v>
      </c>
      <c r="I2289" s="217">
        <v>640</v>
      </c>
      <c r="J2289" s="627">
        <v>1920</v>
      </c>
    </row>
    <row r="2290" spans="4:10">
      <c r="D2290" s="608" t="s">
        <v>331</v>
      </c>
      <c r="E2290" s="609">
        <v>160</v>
      </c>
      <c r="F2290" s="217">
        <v>480</v>
      </c>
      <c r="H2290" s="608"/>
      <c r="I2290" s="609"/>
      <c r="J2290" s="217"/>
    </row>
    <row r="2291" spans="4:10">
      <c r="D2291" s="217"/>
      <c r="E2291" s="623"/>
      <c r="F2291" s="623"/>
      <c r="H2291" s="217"/>
      <c r="I2291" s="627"/>
      <c r="J2291" s="627"/>
    </row>
    <row r="2292" spans="4:10">
      <c r="D2292" s="217"/>
      <c r="E2292" s="534"/>
      <c r="F2292" s="538"/>
      <c r="H2292" s="217"/>
      <c r="I2292" s="534"/>
      <c r="J2292" s="538"/>
    </row>
    <row r="2293" spans="4:10">
      <c r="D2293" s="371" t="s">
        <v>4</v>
      </c>
      <c r="E2293" s="532">
        <f>SUM(E2289:E2292)</f>
        <v>988</v>
      </c>
      <c r="F2293" s="533">
        <f>SUM(F2289:F2292)</f>
        <v>4620</v>
      </c>
      <c r="H2293" s="371" t="s">
        <v>4</v>
      </c>
      <c r="I2293" s="532">
        <f>SUM(I2289:I2292)</f>
        <v>640</v>
      </c>
      <c r="J2293" s="533">
        <f>SUM(J2289:J2292)</f>
        <v>1920</v>
      </c>
    </row>
    <row r="2295" spans="4:10" ht="15.75" thickBot="1"/>
    <row r="2296" spans="4:10" ht="15.75" thickBot="1">
      <c r="D2296" s="653" t="s">
        <v>0</v>
      </c>
      <c r="E2296" s="654"/>
      <c r="F2296" s="655"/>
      <c r="H2296" s="653" t="s">
        <v>0</v>
      </c>
      <c r="I2296" s="654"/>
      <c r="J2296" s="655"/>
    </row>
    <row r="2297" spans="4:10">
      <c r="D2297" s="625" t="s">
        <v>1</v>
      </c>
      <c r="E2297" s="543">
        <v>46238</v>
      </c>
      <c r="F2297" s="656" t="s">
        <v>184</v>
      </c>
      <c r="H2297" s="625" t="s">
        <v>1</v>
      </c>
      <c r="I2297" s="543">
        <v>46239</v>
      </c>
      <c r="J2297" s="656" t="s">
        <v>184</v>
      </c>
    </row>
    <row r="2298" spans="4:10">
      <c r="D2298" s="627" t="s">
        <v>2</v>
      </c>
      <c r="E2298" s="627" t="s">
        <v>3</v>
      </c>
      <c r="F2298" s="657"/>
      <c r="H2298" s="627" t="s">
        <v>2</v>
      </c>
      <c r="I2298" s="627" t="s">
        <v>3</v>
      </c>
      <c r="J2298" s="657"/>
    </row>
    <row r="2299" spans="4:10">
      <c r="D2299" s="626" t="s">
        <v>251</v>
      </c>
      <c r="E2299" s="217">
        <v>770</v>
      </c>
      <c r="F2299" s="627">
        <v>2310</v>
      </c>
      <c r="H2299" s="626" t="s">
        <v>369</v>
      </c>
      <c r="I2299" s="217">
        <v>800</v>
      </c>
      <c r="J2299" s="627">
        <v>2400</v>
      </c>
    </row>
    <row r="2300" spans="4:10">
      <c r="D2300" s="608"/>
      <c r="E2300" s="609"/>
      <c r="F2300" s="217"/>
      <c r="H2300" s="608"/>
      <c r="I2300" s="609"/>
      <c r="J2300" s="217"/>
    </row>
    <row r="2301" spans="4:10">
      <c r="D2301" s="217"/>
      <c r="E2301" s="627"/>
      <c r="F2301" s="627"/>
      <c r="H2301" s="217"/>
      <c r="I2301" s="627"/>
      <c r="J2301" s="627"/>
    </row>
    <row r="2302" spans="4:10">
      <c r="D2302" s="217"/>
      <c r="E2302" s="534"/>
      <c r="F2302" s="538"/>
      <c r="H2302" s="217"/>
      <c r="I2302" s="534"/>
      <c r="J2302" s="538"/>
    </row>
    <row r="2303" spans="4:10">
      <c r="D2303" s="371" t="s">
        <v>4</v>
      </c>
      <c r="E2303" s="532">
        <f>SUM(E2299:E2302)</f>
        <v>770</v>
      </c>
      <c r="F2303" s="533">
        <f>SUM(F2299:F2302)</f>
        <v>2310</v>
      </c>
      <c r="H2303" s="371" t="s">
        <v>4</v>
      </c>
      <c r="I2303" s="532">
        <f>SUM(I2299:I2302)</f>
        <v>800</v>
      </c>
      <c r="J2303" s="533">
        <f>SUM(J2299:J2302)</f>
        <v>2400</v>
      </c>
    </row>
    <row r="2305" spans="4:10" ht="15.75" thickBot="1"/>
    <row r="2306" spans="4:10" ht="15.75" thickBot="1">
      <c r="D2306" s="653" t="s">
        <v>0</v>
      </c>
      <c r="E2306" s="654"/>
      <c r="F2306" s="655"/>
      <c r="H2306" s="653" t="s">
        <v>0</v>
      </c>
      <c r="I2306" s="654"/>
      <c r="J2306" s="655"/>
    </row>
    <row r="2307" spans="4:10">
      <c r="D2307" s="625" t="s">
        <v>1</v>
      </c>
      <c r="E2307" s="543">
        <v>46240</v>
      </c>
      <c r="F2307" s="656" t="s">
        <v>184</v>
      </c>
      <c r="H2307" s="625" t="s">
        <v>1</v>
      </c>
      <c r="I2307" s="543">
        <v>46242</v>
      </c>
      <c r="J2307" s="656" t="s">
        <v>184</v>
      </c>
    </row>
    <row r="2308" spans="4:10">
      <c r="D2308" s="627" t="s">
        <v>2</v>
      </c>
      <c r="E2308" s="627" t="s">
        <v>3</v>
      </c>
      <c r="F2308" s="657"/>
      <c r="H2308" s="627" t="s">
        <v>2</v>
      </c>
      <c r="I2308" s="627" t="s">
        <v>3</v>
      </c>
      <c r="J2308" s="657"/>
    </row>
    <row r="2309" spans="4:10">
      <c r="D2309" s="626" t="s">
        <v>477</v>
      </c>
      <c r="E2309" s="217">
        <v>800</v>
      </c>
      <c r="F2309" s="627">
        <v>2400</v>
      </c>
      <c r="H2309" s="626" t="s">
        <v>8</v>
      </c>
      <c r="I2309" s="217">
        <v>800</v>
      </c>
      <c r="J2309" s="627">
        <v>2400</v>
      </c>
    </row>
    <row r="2310" spans="4:10">
      <c r="D2310" s="608"/>
      <c r="E2310" s="609"/>
      <c r="F2310" s="217"/>
      <c r="H2310" s="608"/>
      <c r="I2310" s="609"/>
      <c r="J2310" s="217"/>
    </row>
    <row r="2311" spans="4:10">
      <c r="D2311" s="217"/>
      <c r="E2311" s="627"/>
      <c r="F2311" s="627"/>
      <c r="H2311" s="217"/>
      <c r="I2311" s="627"/>
      <c r="J2311" s="627"/>
    </row>
    <row r="2312" spans="4:10">
      <c r="D2312" s="217"/>
      <c r="E2312" s="534"/>
      <c r="F2312" s="538"/>
      <c r="H2312" s="217"/>
      <c r="I2312" s="534"/>
      <c r="J2312" s="538"/>
    </row>
    <row r="2313" spans="4:10">
      <c r="D2313" s="371" t="s">
        <v>4</v>
      </c>
      <c r="E2313" s="532">
        <f>SUM(E2309:E2312)</f>
        <v>800</v>
      </c>
      <c r="F2313" s="533">
        <f>SUM(F2309:F2312)</f>
        <v>2400</v>
      </c>
      <c r="H2313" s="371" t="s">
        <v>4</v>
      </c>
      <c r="I2313" s="532">
        <f>SUM(I2309:I2312)</f>
        <v>800</v>
      </c>
      <c r="J2313" s="533">
        <f>SUM(J2309:J2312)</f>
        <v>2400</v>
      </c>
    </row>
    <row r="2315" spans="4:10" ht="15.75" thickBot="1"/>
    <row r="2316" spans="4:10" ht="15.75" thickBot="1">
      <c r="D2316" s="653" t="s">
        <v>0</v>
      </c>
      <c r="E2316" s="654"/>
      <c r="F2316" s="655"/>
      <c r="H2316" s="653" t="s">
        <v>0</v>
      </c>
      <c r="I2316" s="654"/>
      <c r="J2316" s="655"/>
    </row>
    <row r="2317" spans="4:10">
      <c r="D2317" s="625" t="s">
        <v>1</v>
      </c>
      <c r="E2317" s="543">
        <v>46244</v>
      </c>
      <c r="F2317" s="656" t="s">
        <v>184</v>
      </c>
      <c r="H2317" s="625" t="s">
        <v>1</v>
      </c>
      <c r="I2317" s="543">
        <v>46245</v>
      </c>
      <c r="J2317" s="656" t="s">
        <v>184</v>
      </c>
    </row>
    <row r="2318" spans="4:10">
      <c r="D2318" s="627" t="s">
        <v>2</v>
      </c>
      <c r="E2318" s="627" t="s">
        <v>3</v>
      </c>
      <c r="F2318" s="657"/>
      <c r="H2318" s="627" t="s">
        <v>2</v>
      </c>
      <c r="I2318" s="627" t="s">
        <v>3</v>
      </c>
      <c r="J2318" s="657"/>
    </row>
    <row r="2319" spans="4:10">
      <c r="D2319" s="626" t="s">
        <v>34</v>
      </c>
      <c r="E2319" s="217">
        <v>800</v>
      </c>
      <c r="F2319" s="627">
        <v>2400</v>
      </c>
      <c r="H2319" s="626" t="s">
        <v>5</v>
      </c>
      <c r="I2319" s="217">
        <v>800</v>
      </c>
      <c r="J2319" s="627">
        <v>2400</v>
      </c>
    </row>
    <row r="2320" spans="4:10">
      <c r="D2320" s="608"/>
      <c r="E2320" s="609"/>
      <c r="F2320" s="217"/>
      <c r="H2320" s="608"/>
      <c r="I2320" s="609"/>
      <c r="J2320" s="217"/>
    </row>
    <row r="2321" spans="4:10">
      <c r="D2321" s="217"/>
      <c r="E2321" s="627"/>
      <c r="F2321" s="627"/>
      <c r="H2321" s="217"/>
      <c r="I2321" s="627"/>
      <c r="J2321" s="627"/>
    </row>
    <row r="2322" spans="4:10">
      <c r="D2322" s="217"/>
      <c r="E2322" s="534"/>
      <c r="F2322" s="538"/>
      <c r="H2322" s="217"/>
      <c r="I2322" s="534"/>
      <c r="J2322" s="538"/>
    </row>
    <row r="2323" spans="4:10">
      <c r="D2323" s="371" t="s">
        <v>4</v>
      </c>
      <c r="E2323" s="532">
        <f>SUM(E2319:E2322)</f>
        <v>800</v>
      </c>
      <c r="F2323" s="533">
        <f>SUM(F2319:F2322)</f>
        <v>2400</v>
      </c>
      <c r="H2323" s="371" t="s">
        <v>4</v>
      </c>
      <c r="I2323" s="532">
        <f>SUM(I2319:I2322)</f>
        <v>800</v>
      </c>
      <c r="J2323" s="533">
        <f>SUM(J2319:J2322)</f>
        <v>2400</v>
      </c>
    </row>
    <row r="2325" spans="4:10" ht="15.75" thickBot="1"/>
    <row r="2326" spans="4:10" ht="15.75" thickBot="1">
      <c r="D2326" s="653" t="s">
        <v>0</v>
      </c>
      <c r="E2326" s="654"/>
      <c r="F2326" s="655"/>
      <c r="H2326" s="653" t="s">
        <v>0</v>
      </c>
      <c r="I2326" s="654"/>
      <c r="J2326" s="655"/>
    </row>
    <row r="2327" spans="4:10">
      <c r="D2327" s="628" t="s">
        <v>1</v>
      </c>
      <c r="E2327" s="543">
        <v>46246</v>
      </c>
      <c r="F2327" s="656" t="s">
        <v>184</v>
      </c>
      <c r="H2327" s="628" t="s">
        <v>1</v>
      </c>
      <c r="I2327" s="543">
        <v>46247</v>
      </c>
      <c r="J2327" s="656" t="s">
        <v>184</v>
      </c>
    </row>
    <row r="2328" spans="4:10">
      <c r="D2328" s="630" t="s">
        <v>2</v>
      </c>
      <c r="E2328" s="630" t="s">
        <v>3</v>
      </c>
      <c r="F2328" s="657"/>
      <c r="H2328" s="630" t="s">
        <v>2</v>
      </c>
      <c r="I2328" s="630" t="s">
        <v>3</v>
      </c>
      <c r="J2328" s="657"/>
    </row>
    <row r="2329" spans="4:10">
      <c r="D2329" s="629" t="s">
        <v>435</v>
      </c>
      <c r="E2329" s="217">
        <v>800</v>
      </c>
      <c r="F2329" s="630">
        <v>2400</v>
      </c>
      <c r="H2329" s="629" t="s">
        <v>8</v>
      </c>
      <c r="I2329" s="217">
        <v>400</v>
      </c>
      <c r="J2329" s="630">
        <v>1200</v>
      </c>
    </row>
    <row r="2330" spans="4:10">
      <c r="D2330" s="608"/>
      <c r="E2330" s="609"/>
      <c r="F2330" s="217"/>
      <c r="H2330" s="608" t="s">
        <v>251</v>
      </c>
      <c r="I2330" s="609">
        <v>400</v>
      </c>
      <c r="J2330" s="217">
        <v>1200</v>
      </c>
    </row>
    <row r="2331" spans="4:10">
      <c r="D2331" s="217"/>
      <c r="E2331" s="630"/>
      <c r="F2331" s="630"/>
      <c r="H2331" s="217"/>
      <c r="I2331" s="630"/>
      <c r="J2331" s="630"/>
    </row>
    <row r="2332" spans="4:10">
      <c r="D2332" s="217"/>
      <c r="E2332" s="534"/>
      <c r="F2332" s="538"/>
      <c r="H2332" s="217"/>
      <c r="I2332" s="534"/>
      <c r="J2332" s="538"/>
    </row>
    <row r="2333" spans="4:10">
      <c r="D2333" s="371" t="s">
        <v>4</v>
      </c>
      <c r="E2333" s="532">
        <f>SUM(E2329:E2332)</f>
        <v>800</v>
      </c>
      <c r="F2333" s="533">
        <f>SUM(F2329:F2332)</f>
        <v>2400</v>
      </c>
      <c r="H2333" s="371" t="s">
        <v>4</v>
      </c>
      <c r="I2333" s="532">
        <f>SUM(I2329:I2332)</f>
        <v>800</v>
      </c>
      <c r="J2333" s="533">
        <f>SUM(J2329:J2332)</f>
        <v>2400</v>
      </c>
    </row>
    <row r="2335" spans="4:10" ht="15.75" thickBot="1"/>
    <row r="2336" spans="4:10" ht="15.75" thickBot="1">
      <c r="D2336" s="653" t="s">
        <v>0</v>
      </c>
      <c r="E2336" s="654"/>
      <c r="F2336" s="655"/>
      <c r="H2336" s="653" t="s">
        <v>0</v>
      </c>
      <c r="I2336" s="654"/>
      <c r="J2336" s="655"/>
    </row>
    <row r="2337" spans="4:10">
      <c r="D2337" s="628" t="s">
        <v>1</v>
      </c>
      <c r="E2337" s="543">
        <v>46248</v>
      </c>
      <c r="F2337" s="656" t="s">
        <v>184</v>
      </c>
      <c r="H2337" s="631" t="s">
        <v>1</v>
      </c>
      <c r="I2337" s="543">
        <v>46252</v>
      </c>
      <c r="J2337" s="656" t="s">
        <v>184</v>
      </c>
    </row>
    <row r="2338" spans="4:10">
      <c r="D2338" s="630" t="s">
        <v>2</v>
      </c>
      <c r="E2338" s="630" t="s">
        <v>3</v>
      </c>
      <c r="F2338" s="657"/>
      <c r="H2338" s="633" t="s">
        <v>2</v>
      </c>
      <c r="I2338" s="633" t="s">
        <v>3</v>
      </c>
      <c r="J2338" s="657"/>
    </row>
    <row r="2339" spans="4:10">
      <c r="D2339" s="629" t="s">
        <v>478</v>
      </c>
      <c r="E2339" s="217">
        <v>2000</v>
      </c>
      <c r="F2339" s="634">
        <v>10000</v>
      </c>
      <c r="H2339" s="632" t="s">
        <v>478</v>
      </c>
      <c r="I2339" s="217">
        <v>400</v>
      </c>
      <c r="J2339" s="634">
        <v>2000</v>
      </c>
    </row>
    <row r="2340" spans="4:10">
      <c r="D2340" s="608"/>
      <c r="E2340" s="609"/>
      <c r="F2340" s="217"/>
      <c r="H2340" s="608" t="s">
        <v>479</v>
      </c>
      <c r="I2340" s="609">
        <v>390</v>
      </c>
      <c r="J2340" s="217">
        <v>1950</v>
      </c>
    </row>
    <row r="2341" spans="4:10">
      <c r="D2341" s="217"/>
      <c r="E2341" s="630"/>
      <c r="F2341" s="630"/>
      <c r="H2341" s="217" t="s">
        <v>131</v>
      </c>
      <c r="I2341" s="633">
        <v>306</v>
      </c>
      <c r="J2341" s="633">
        <v>1530</v>
      </c>
    </row>
    <row r="2342" spans="4:10">
      <c r="D2342" s="217"/>
      <c r="E2342" s="534"/>
      <c r="F2342" s="538"/>
      <c r="H2342" s="217" t="s">
        <v>470</v>
      </c>
      <c r="I2342" s="534">
        <v>25</v>
      </c>
      <c r="J2342" s="538">
        <v>75</v>
      </c>
    </row>
    <row r="2343" spans="4:10">
      <c r="D2343" s="371" t="s">
        <v>4</v>
      </c>
      <c r="E2343" s="532">
        <f>SUM(E2339:E2342)</f>
        <v>2000</v>
      </c>
      <c r="F2343" s="533">
        <f>SUM(F2339:F2342)</f>
        <v>10000</v>
      </c>
      <c r="H2343" s="371" t="s">
        <v>4</v>
      </c>
      <c r="I2343" s="532">
        <f>SUM(I2339:I2342)</f>
        <v>1121</v>
      </c>
      <c r="J2343" s="533">
        <f>SUM(J2339:J2342)</f>
        <v>5555</v>
      </c>
    </row>
    <row r="2345" spans="4:10" ht="15.75" thickBot="1"/>
    <row r="2346" spans="4:10" ht="15.75" thickBot="1">
      <c r="D2346" s="653" t="s">
        <v>0</v>
      </c>
      <c r="E2346" s="654"/>
      <c r="F2346" s="655"/>
      <c r="H2346" s="653" t="s">
        <v>0</v>
      </c>
      <c r="I2346" s="654"/>
      <c r="J2346" s="655"/>
    </row>
    <row r="2347" spans="4:10">
      <c r="D2347" s="631" t="s">
        <v>1</v>
      </c>
      <c r="E2347" s="543">
        <v>46253</v>
      </c>
      <c r="F2347" s="656" t="s">
        <v>184</v>
      </c>
      <c r="H2347" s="631" t="s">
        <v>1</v>
      </c>
      <c r="I2347" s="543">
        <v>46254</v>
      </c>
      <c r="J2347" s="656" t="s">
        <v>184</v>
      </c>
    </row>
    <row r="2348" spans="4:10">
      <c r="D2348" s="633" t="s">
        <v>2</v>
      </c>
      <c r="E2348" s="633" t="s">
        <v>3</v>
      </c>
      <c r="F2348" s="657"/>
      <c r="H2348" s="633" t="s">
        <v>2</v>
      </c>
      <c r="I2348" s="633" t="s">
        <v>3</v>
      </c>
      <c r="J2348" s="657"/>
    </row>
    <row r="2349" spans="4:10">
      <c r="D2349" s="632" t="s">
        <v>470</v>
      </c>
      <c r="E2349" s="217">
        <v>735</v>
      </c>
      <c r="F2349" s="634">
        <v>2205</v>
      </c>
      <c r="H2349" s="608" t="s">
        <v>367</v>
      </c>
      <c r="I2349" s="217">
        <v>449</v>
      </c>
      <c r="J2349" s="634">
        <v>1347</v>
      </c>
    </row>
    <row r="2350" spans="4:10">
      <c r="D2350" s="608" t="s">
        <v>367</v>
      </c>
      <c r="E2350" s="609">
        <v>86</v>
      </c>
      <c r="F2350" s="217">
        <v>258</v>
      </c>
      <c r="H2350" s="217" t="s">
        <v>480</v>
      </c>
      <c r="I2350" s="609">
        <v>208</v>
      </c>
      <c r="J2350" s="217">
        <v>624</v>
      </c>
    </row>
    <row r="2351" spans="4:10">
      <c r="D2351" s="217"/>
      <c r="E2351" s="633"/>
      <c r="F2351" s="633"/>
      <c r="H2351" s="217"/>
      <c r="I2351" s="633"/>
      <c r="J2351" s="633"/>
    </row>
    <row r="2352" spans="4:10">
      <c r="D2352" s="217"/>
      <c r="E2352" s="534"/>
      <c r="F2352" s="538"/>
      <c r="H2352" s="217"/>
      <c r="I2352" s="534"/>
      <c r="J2352" s="538"/>
    </row>
    <row r="2353" spans="4:10">
      <c r="D2353" s="371" t="s">
        <v>4</v>
      </c>
      <c r="E2353" s="532">
        <f>SUM(E2349:E2352)</f>
        <v>821</v>
      </c>
      <c r="F2353" s="533">
        <f>SUM(F2349:F2352)</f>
        <v>2463</v>
      </c>
      <c r="H2353" s="371" t="s">
        <v>4</v>
      </c>
      <c r="I2353" s="532">
        <f>SUM(I2349:I2352)</f>
        <v>657</v>
      </c>
      <c r="J2353" s="533">
        <f>SUM(J2349:J2352)</f>
        <v>1971</v>
      </c>
    </row>
    <row r="2355" spans="4:10" ht="15.75" thickBot="1"/>
    <row r="2356" spans="4:10" ht="15.75" thickBot="1">
      <c r="D2356" s="653" t="s">
        <v>0</v>
      </c>
      <c r="E2356" s="654"/>
      <c r="F2356" s="655"/>
      <c r="H2356" s="653" t="s">
        <v>0</v>
      </c>
      <c r="I2356" s="654"/>
      <c r="J2356" s="655"/>
    </row>
    <row r="2357" spans="4:10">
      <c r="D2357" s="631" t="s">
        <v>1</v>
      </c>
      <c r="E2357" s="543">
        <v>46255</v>
      </c>
      <c r="F2357" s="656" t="s">
        <v>184</v>
      </c>
      <c r="H2357" s="635" t="s">
        <v>1</v>
      </c>
      <c r="I2357" s="543">
        <v>46259</v>
      </c>
      <c r="J2357" s="656" t="s">
        <v>184</v>
      </c>
    </row>
    <row r="2358" spans="4:10">
      <c r="D2358" s="633" t="s">
        <v>2</v>
      </c>
      <c r="E2358" s="633" t="s">
        <v>3</v>
      </c>
      <c r="F2358" s="657"/>
      <c r="H2358" s="636" t="s">
        <v>2</v>
      </c>
      <c r="I2358" s="636" t="s">
        <v>3</v>
      </c>
      <c r="J2358" s="657"/>
    </row>
    <row r="2359" spans="4:10">
      <c r="D2359" s="608" t="s">
        <v>480</v>
      </c>
      <c r="E2359" s="217">
        <v>592</v>
      </c>
      <c r="F2359" s="634">
        <v>1776</v>
      </c>
      <c r="H2359" s="608" t="s">
        <v>435</v>
      </c>
      <c r="I2359" s="217">
        <v>244</v>
      </c>
      <c r="J2359" s="634">
        <v>732</v>
      </c>
    </row>
    <row r="2360" spans="4:10">
      <c r="D2360" s="217" t="s">
        <v>399</v>
      </c>
      <c r="E2360" s="609">
        <v>90</v>
      </c>
      <c r="F2360" s="217">
        <v>270</v>
      </c>
      <c r="H2360" s="217" t="s">
        <v>252</v>
      </c>
      <c r="I2360" s="609">
        <v>334</v>
      </c>
      <c r="J2360" s="217">
        <v>1000</v>
      </c>
    </row>
    <row r="2361" spans="4:10">
      <c r="D2361" s="217"/>
      <c r="E2361" s="633"/>
      <c r="F2361" s="633"/>
      <c r="H2361" s="217"/>
      <c r="I2361" s="636"/>
      <c r="J2361" s="636"/>
    </row>
    <row r="2362" spans="4:10">
      <c r="D2362" s="217"/>
      <c r="E2362" s="534"/>
      <c r="F2362" s="538"/>
      <c r="H2362" s="217"/>
      <c r="I2362" s="534"/>
      <c r="J2362" s="538"/>
    </row>
    <row r="2363" spans="4:10">
      <c r="D2363" s="371" t="s">
        <v>4</v>
      </c>
      <c r="E2363" s="532">
        <f>SUM(E2359:E2362)</f>
        <v>682</v>
      </c>
      <c r="F2363" s="533">
        <f>SUM(F2359:F2362)</f>
        <v>2046</v>
      </c>
      <c r="H2363" s="371" t="s">
        <v>4</v>
      </c>
      <c r="I2363" s="532">
        <f>SUM(I2359:I2362)</f>
        <v>578</v>
      </c>
      <c r="J2363" s="533">
        <f>SUM(J2359:J2362)</f>
        <v>1732</v>
      </c>
    </row>
    <row r="2365" spans="4:10" ht="15.75" thickBot="1"/>
    <row r="2366" spans="4:10" ht="15.75" thickBot="1">
      <c r="D2366" s="653" t="s">
        <v>0</v>
      </c>
      <c r="E2366" s="654"/>
      <c r="F2366" s="655"/>
      <c r="H2366" s="653" t="s">
        <v>0</v>
      </c>
      <c r="I2366" s="654"/>
      <c r="J2366" s="655"/>
    </row>
    <row r="2367" spans="4:10">
      <c r="D2367" s="635" t="s">
        <v>1</v>
      </c>
      <c r="E2367" s="543">
        <v>46260</v>
      </c>
      <c r="F2367" s="656" t="s">
        <v>184</v>
      </c>
      <c r="H2367" s="635" t="s">
        <v>1</v>
      </c>
      <c r="I2367" s="543">
        <v>46261</v>
      </c>
      <c r="J2367" s="656" t="s">
        <v>184</v>
      </c>
    </row>
    <row r="2368" spans="4:10">
      <c r="D2368" s="636" t="s">
        <v>2</v>
      </c>
      <c r="E2368" s="636" t="s">
        <v>3</v>
      </c>
      <c r="F2368" s="657"/>
      <c r="H2368" s="636" t="s">
        <v>2</v>
      </c>
      <c r="I2368" s="636" t="s">
        <v>3</v>
      </c>
      <c r="J2368" s="657"/>
    </row>
    <row r="2369" spans="4:10">
      <c r="D2369" s="608" t="s">
        <v>481</v>
      </c>
      <c r="E2369" s="217">
        <v>30</v>
      </c>
      <c r="F2369" s="634">
        <v>90</v>
      </c>
      <c r="H2369" s="608" t="s">
        <v>331</v>
      </c>
      <c r="I2369" s="217">
        <v>127</v>
      </c>
      <c r="J2369" s="634">
        <v>381</v>
      </c>
    </row>
    <row r="2370" spans="4:10">
      <c r="D2370" s="217" t="s">
        <v>172</v>
      </c>
      <c r="E2370" s="609">
        <v>673</v>
      </c>
      <c r="F2370" s="217">
        <v>2019</v>
      </c>
      <c r="H2370" s="217" t="s">
        <v>482</v>
      </c>
      <c r="I2370" s="609">
        <v>334</v>
      </c>
      <c r="J2370" s="217">
        <v>1000</v>
      </c>
    </row>
    <row r="2371" spans="4:10">
      <c r="D2371" s="217"/>
      <c r="E2371" s="636"/>
      <c r="F2371" s="636"/>
      <c r="H2371" s="217" t="s">
        <v>483</v>
      </c>
      <c r="I2371" s="636">
        <v>17</v>
      </c>
      <c r="J2371" s="636">
        <v>51</v>
      </c>
    </row>
    <row r="2372" spans="4:10">
      <c r="D2372" s="217"/>
      <c r="E2372" s="534"/>
      <c r="F2372" s="538"/>
      <c r="H2372" s="217"/>
      <c r="I2372" s="534"/>
      <c r="J2372" s="538"/>
    </row>
    <row r="2373" spans="4:10">
      <c r="D2373" s="371" t="s">
        <v>4</v>
      </c>
      <c r="E2373" s="532">
        <f>SUM(E2369:E2372)</f>
        <v>703</v>
      </c>
      <c r="F2373" s="533">
        <f>SUM(F2369:F2372)</f>
        <v>2109</v>
      </c>
      <c r="H2373" s="371" t="s">
        <v>4</v>
      </c>
      <c r="I2373" s="532">
        <f>SUM(I2369:I2372)</f>
        <v>478</v>
      </c>
      <c r="J2373" s="533">
        <f>SUM(J2369:J2372)</f>
        <v>1432</v>
      </c>
    </row>
    <row r="2375" spans="4:10" ht="15.75" thickBot="1"/>
    <row r="2376" spans="4:10" ht="15.75" thickBot="1">
      <c r="D2376" s="653" t="s">
        <v>0</v>
      </c>
      <c r="E2376" s="654"/>
      <c r="F2376" s="655"/>
      <c r="H2376" s="653" t="s">
        <v>0</v>
      </c>
      <c r="I2376" s="654"/>
      <c r="J2376" s="655"/>
    </row>
    <row r="2377" spans="4:10">
      <c r="D2377" s="635" t="s">
        <v>1</v>
      </c>
      <c r="E2377" s="543">
        <v>46262</v>
      </c>
      <c r="F2377" s="656" t="s">
        <v>184</v>
      </c>
      <c r="H2377" s="635" t="s">
        <v>1</v>
      </c>
      <c r="I2377" s="543">
        <v>46263</v>
      </c>
      <c r="J2377" s="656" t="s">
        <v>184</v>
      </c>
    </row>
    <row r="2378" spans="4:10">
      <c r="D2378" s="636" t="s">
        <v>2</v>
      </c>
      <c r="E2378" s="636" t="s">
        <v>3</v>
      </c>
      <c r="F2378" s="657"/>
      <c r="H2378" s="636" t="s">
        <v>2</v>
      </c>
      <c r="I2378" s="636" t="s">
        <v>3</v>
      </c>
      <c r="J2378" s="657"/>
    </row>
    <row r="2379" spans="4:10">
      <c r="D2379" s="217" t="s">
        <v>483</v>
      </c>
      <c r="E2379" s="217">
        <v>317</v>
      </c>
      <c r="F2379" s="634">
        <v>951</v>
      </c>
      <c r="H2379" s="608" t="s">
        <v>486</v>
      </c>
      <c r="I2379" s="217">
        <v>179</v>
      </c>
      <c r="J2379" s="634">
        <v>895</v>
      </c>
    </row>
    <row r="2380" spans="4:10">
      <c r="D2380" s="217" t="s">
        <v>485</v>
      </c>
      <c r="E2380" s="217">
        <v>306</v>
      </c>
      <c r="F2380" s="217">
        <v>1530</v>
      </c>
      <c r="H2380" s="217"/>
      <c r="I2380" s="609"/>
      <c r="J2380" s="217"/>
    </row>
    <row r="2381" spans="4:10">
      <c r="D2381" s="217"/>
      <c r="E2381" s="636"/>
      <c r="F2381" s="636"/>
      <c r="H2381" s="217"/>
      <c r="I2381" s="636"/>
      <c r="J2381" s="636"/>
    </row>
    <row r="2382" spans="4:10">
      <c r="D2382" s="217"/>
      <c r="E2382" s="534"/>
      <c r="F2382" s="538"/>
      <c r="H2382" s="217"/>
      <c r="I2382" s="534"/>
      <c r="J2382" s="538"/>
    </row>
    <row r="2383" spans="4:10">
      <c r="D2383" s="371" t="s">
        <v>4</v>
      </c>
      <c r="E2383" s="532">
        <f>SUM(E2379:E2382)</f>
        <v>623</v>
      </c>
      <c r="F2383" s="533">
        <f>SUM(F2379:F2382)</f>
        <v>2481</v>
      </c>
      <c r="H2383" s="371" t="s">
        <v>4</v>
      </c>
      <c r="I2383" s="532">
        <f>SUM(I2379:I2382)</f>
        <v>179</v>
      </c>
      <c r="J2383" s="533">
        <f>SUM(J2379:J2382)</f>
        <v>895</v>
      </c>
    </row>
    <row r="2385" spans="4:10" ht="15.75" thickBot="1"/>
    <row r="2386" spans="4:10">
      <c r="D2386" s="658" t="s">
        <v>484</v>
      </c>
      <c r="E2386" s="659"/>
      <c r="F2386" s="659"/>
      <c r="G2386" s="659"/>
      <c r="H2386" s="659"/>
      <c r="I2386" s="659"/>
      <c r="J2386" s="660"/>
    </row>
    <row r="2387" spans="4:10" ht="15.75" thickBot="1">
      <c r="D2387" s="661"/>
      <c r="E2387" s="662"/>
      <c r="F2387" s="662"/>
      <c r="G2387" s="662"/>
      <c r="H2387" s="662"/>
      <c r="I2387" s="662"/>
      <c r="J2387" s="663"/>
    </row>
    <row r="2389" spans="4:10" ht="15.75" thickBot="1"/>
    <row r="2390" spans="4:10" ht="15.75" thickBot="1">
      <c r="D2390" s="653" t="s">
        <v>0</v>
      </c>
      <c r="E2390" s="654"/>
      <c r="F2390" s="655"/>
      <c r="H2390" s="653" t="s">
        <v>0</v>
      </c>
      <c r="I2390" s="654"/>
      <c r="J2390" s="655"/>
    </row>
    <row r="2391" spans="4:10">
      <c r="D2391" s="635" t="s">
        <v>1</v>
      </c>
      <c r="E2391" s="543">
        <v>46266</v>
      </c>
      <c r="F2391" s="656" t="s">
        <v>184</v>
      </c>
      <c r="H2391" s="635" t="s">
        <v>1</v>
      </c>
      <c r="I2391" s="543">
        <v>46267</v>
      </c>
      <c r="J2391" s="656" t="s">
        <v>184</v>
      </c>
    </row>
    <row r="2392" spans="4:10">
      <c r="D2392" s="636" t="s">
        <v>2</v>
      </c>
      <c r="E2392" s="636" t="s">
        <v>3</v>
      </c>
      <c r="F2392" s="657"/>
      <c r="H2392" s="636" t="s">
        <v>2</v>
      </c>
      <c r="I2392" s="636" t="s">
        <v>3</v>
      </c>
      <c r="J2392" s="657"/>
    </row>
    <row r="2393" spans="4:10">
      <c r="D2393" s="608" t="s">
        <v>486</v>
      </c>
      <c r="E2393" s="217">
        <v>1083</v>
      </c>
      <c r="F2393" s="634">
        <v>5415</v>
      </c>
      <c r="H2393" s="608" t="s">
        <v>486</v>
      </c>
      <c r="I2393" s="217">
        <v>700</v>
      </c>
      <c r="J2393" s="634">
        <v>3500</v>
      </c>
    </row>
    <row r="2394" spans="4:10">
      <c r="D2394" s="217"/>
      <c r="E2394" s="609"/>
      <c r="F2394" s="217"/>
      <c r="H2394" s="217" t="s">
        <v>472</v>
      </c>
      <c r="I2394" s="609">
        <v>320</v>
      </c>
      <c r="J2394" s="217">
        <v>960</v>
      </c>
    </row>
    <row r="2395" spans="4:10">
      <c r="D2395" s="217"/>
      <c r="E2395" s="636"/>
      <c r="F2395" s="636"/>
      <c r="H2395" s="217"/>
      <c r="I2395" s="636"/>
      <c r="J2395" s="636"/>
    </row>
    <row r="2396" spans="4:10">
      <c r="D2396" s="217"/>
      <c r="E2396" s="534"/>
      <c r="F2396" s="538"/>
      <c r="H2396" s="217"/>
      <c r="I2396" s="534"/>
      <c r="J2396" s="538"/>
    </row>
    <row r="2397" spans="4:10">
      <c r="D2397" s="371" t="s">
        <v>4</v>
      </c>
      <c r="E2397" s="532">
        <f>SUM(E2393:E2396)</f>
        <v>1083</v>
      </c>
      <c r="F2397" s="533">
        <f>SUM(F2393:F2396)</f>
        <v>5415</v>
      </c>
      <c r="H2397" s="371" t="s">
        <v>4</v>
      </c>
      <c r="I2397" s="532">
        <f>SUM(I2393:I2396)</f>
        <v>1020</v>
      </c>
      <c r="J2397" s="533">
        <f>SUM(J2393:J2396)</f>
        <v>4460</v>
      </c>
    </row>
    <row r="2398" spans="4:10" ht="15.75" thickBot="1"/>
    <row r="2399" spans="4:10" ht="15.75" thickBot="1">
      <c r="D2399" s="653" t="s">
        <v>0</v>
      </c>
      <c r="E2399" s="654"/>
      <c r="F2399" s="655"/>
      <c r="H2399" s="653" t="s">
        <v>0</v>
      </c>
      <c r="I2399" s="654"/>
      <c r="J2399" s="655"/>
    </row>
    <row r="2400" spans="4:10">
      <c r="D2400" s="637" t="s">
        <v>1</v>
      </c>
      <c r="E2400" s="543">
        <v>46268</v>
      </c>
      <c r="F2400" s="656" t="s">
        <v>184</v>
      </c>
      <c r="H2400" s="639" t="s">
        <v>1</v>
      </c>
      <c r="I2400" s="543">
        <v>46269</v>
      </c>
      <c r="J2400" s="656" t="s">
        <v>184</v>
      </c>
    </row>
    <row r="2401" spans="4:10">
      <c r="D2401" s="638" t="s">
        <v>2</v>
      </c>
      <c r="E2401" s="638" t="s">
        <v>3</v>
      </c>
      <c r="F2401" s="657"/>
      <c r="H2401" s="640" t="s">
        <v>2</v>
      </c>
      <c r="I2401" s="640" t="s">
        <v>3</v>
      </c>
      <c r="J2401" s="657"/>
    </row>
    <row r="2402" spans="4:10">
      <c r="D2402" s="608"/>
      <c r="E2402" s="217"/>
      <c r="F2402" s="634"/>
      <c r="H2402" s="608" t="s">
        <v>34</v>
      </c>
      <c r="I2402" s="217">
        <v>328</v>
      </c>
      <c r="J2402" s="634">
        <v>984</v>
      </c>
    </row>
    <row r="2403" spans="4:10">
      <c r="D2403" s="217" t="s">
        <v>470</v>
      </c>
      <c r="E2403" s="609">
        <v>800</v>
      </c>
      <c r="F2403" s="217">
        <v>2400</v>
      </c>
      <c r="H2403" s="217"/>
      <c r="I2403" s="609"/>
      <c r="J2403" s="217"/>
    </row>
    <row r="2404" spans="4:10">
      <c r="D2404" s="217"/>
      <c r="E2404" s="638"/>
      <c r="F2404" s="638"/>
      <c r="H2404" s="217"/>
      <c r="I2404" s="640"/>
      <c r="J2404" s="640"/>
    </row>
    <row r="2405" spans="4:10">
      <c r="D2405" s="217"/>
      <c r="E2405" s="534"/>
      <c r="F2405" s="538"/>
      <c r="H2405" s="217"/>
      <c r="I2405" s="534"/>
      <c r="J2405" s="538"/>
    </row>
    <row r="2406" spans="4:10">
      <c r="D2406" s="371" t="s">
        <v>4</v>
      </c>
      <c r="E2406" s="532">
        <f>SUM(E2402:E2405)</f>
        <v>800</v>
      </c>
      <c r="F2406" s="533">
        <f>SUM(F2402:F2405)</f>
        <v>2400</v>
      </c>
      <c r="H2406" s="371" t="s">
        <v>4</v>
      </c>
      <c r="I2406" s="532">
        <f>SUM(I2402:I2405)</f>
        <v>328</v>
      </c>
      <c r="J2406" s="533">
        <f>SUM(J2402:J2405)</f>
        <v>984</v>
      </c>
    </row>
    <row r="2408" spans="4:10" ht="15.75" thickBot="1"/>
    <row r="2409" spans="4:10" ht="15.75" thickBot="1">
      <c r="D2409" s="653" t="s">
        <v>0</v>
      </c>
      <c r="E2409" s="654"/>
      <c r="F2409" s="655"/>
      <c r="H2409" s="653" t="s">
        <v>0</v>
      </c>
      <c r="I2409" s="654"/>
      <c r="J2409" s="655"/>
    </row>
    <row r="2410" spans="4:10">
      <c r="D2410" s="639" t="s">
        <v>1</v>
      </c>
      <c r="E2410" s="543">
        <v>46270</v>
      </c>
      <c r="F2410" s="656" t="s">
        <v>184</v>
      </c>
      <c r="H2410" s="641" t="s">
        <v>1</v>
      </c>
      <c r="I2410" s="543">
        <v>46273</v>
      </c>
      <c r="J2410" s="656" t="s">
        <v>184</v>
      </c>
    </row>
    <row r="2411" spans="4:10">
      <c r="D2411" s="640" t="s">
        <v>2</v>
      </c>
      <c r="E2411" s="640" t="s">
        <v>3</v>
      </c>
      <c r="F2411" s="657"/>
      <c r="H2411" s="642" t="s">
        <v>2</v>
      </c>
      <c r="I2411" s="642" t="s">
        <v>3</v>
      </c>
      <c r="J2411" s="657"/>
    </row>
    <row r="2412" spans="4:10">
      <c r="D2412" s="608" t="s">
        <v>34</v>
      </c>
      <c r="E2412" s="217">
        <v>472</v>
      </c>
      <c r="F2412" s="634">
        <v>1416</v>
      </c>
      <c r="H2412" s="608" t="s">
        <v>20</v>
      </c>
      <c r="I2412" s="217">
        <v>494</v>
      </c>
      <c r="J2412" s="634">
        <v>1482</v>
      </c>
    </row>
    <row r="2413" spans="4:10">
      <c r="D2413" s="217" t="s">
        <v>20</v>
      </c>
      <c r="E2413" s="609">
        <v>36</v>
      </c>
      <c r="F2413" s="217">
        <v>108</v>
      </c>
      <c r="H2413" s="217"/>
      <c r="I2413" s="609"/>
      <c r="J2413" s="217"/>
    </row>
    <row r="2414" spans="4:10">
      <c r="D2414" s="217"/>
      <c r="E2414" s="640"/>
      <c r="F2414" s="640"/>
      <c r="H2414" s="217"/>
      <c r="I2414" s="642"/>
      <c r="J2414" s="642"/>
    </row>
    <row r="2415" spans="4:10">
      <c r="D2415" s="217"/>
      <c r="E2415" s="534"/>
      <c r="F2415" s="538"/>
      <c r="H2415" s="217"/>
      <c r="I2415" s="534"/>
      <c r="J2415" s="538"/>
    </row>
    <row r="2416" spans="4:10">
      <c r="D2416" s="371" t="s">
        <v>4</v>
      </c>
      <c r="E2416" s="532">
        <f>SUM(E2412:E2415)</f>
        <v>508</v>
      </c>
      <c r="F2416" s="533">
        <f>SUM(F2412:F2415)</f>
        <v>1524</v>
      </c>
      <c r="H2416" s="371" t="s">
        <v>4</v>
      </c>
      <c r="I2416" s="532">
        <f>SUM(I2412:I2415)</f>
        <v>494</v>
      </c>
      <c r="J2416" s="533">
        <f>SUM(J2412:J2415)</f>
        <v>1482</v>
      </c>
    </row>
    <row r="2418" spans="4:10" ht="15.75" thickBot="1"/>
    <row r="2419" spans="4:10" ht="15.75" thickBot="1">
      <c r="D2419" s="653" t="s">
        <v>0</v>
      </c>
      <c r="E2419" s="654"/>
      <c r="F2419" s="655"/>
      <c r="H2419" s="653" t="s">
        <v>0</v>
      </c>
      <c r="I2419" s="654"/>
      <c r="J2419" s="655"/>
    </row>
    <row r="2420" spans="4:10">
      <c r="D2420" s="641" t="s">
        <v>1</v>
      </c>
      <c r="E2420" s="543">
        <v>46274</v>
      </c>
      <c r="F2420" s="656" t="s">
        <v>184</v>
      </c>
      <c r="H2420" s="641" t="s">
        <v>1</v>
      </c>
      <c r="I2420" s="543">
        <v>46275</v>
      </c>
      <c r="J2420" s="656" t="s">
        <v>184</v>
      </c>
    </row>
    <row r="2421" spans="4:10">
      <c r="D2421" s="642" t="s">
        <v>2</v>
      </c>
      <c r="E2421" s="642" t="s">
        <v>3</v>
      </c>
      <c r="F2421" s="657"/>
      <c r="H2421" s="642" t="s">
        <v>2</v>
      </c>
      <c r="I2421" s="642" t="s">
        <v>3</v>
      </c>
      <c r="J2421" s="657"/>
    </row>
    <row r="2422" spans="4:10">
      <c r="D2422" s="608" t="s">
        <v>20</v>
      </c>
      <c r="E2422" s="217">
        <v>270</v>
      </c>
      <c r="F2422" s="634">
        <v>810</v>
      </c>
      <c r="H2422" s="608" t="s">
        <v>480</v>
      </c>
      <c r="I2422" s="217">
        <v>906</v>
      </c>
      <c r="J2422" s="634">
        <v>2718</v>
      </c>
    </row>
    <row r="2423" spans="4:10">
      <c r="D2423" s="217" t="s">
        <v>480</v>
      </c>
      <c r="E2423" s="609">
        <v>294</v>
      </c>
      <c r="F2423" s="217">
        <v>882</v>
      </c>
      <c r="H2423" s="217"/>
      <c r="I2423" s="609"/>
      <c r="J2423" s="217"/>
    </row>
    <row r="2424" spans="4:10">
      <c r="D2424" s="217"/>
      <c r="E2424" s="642"/>
      <c r="F2424" s="642"/>
      <c r="H2424" s="217"/>
      <c r="I2424" s="642"/>
      <c r="J2424" s="642"/>
    </row>
    <row r="2425" spans="4:10">
      <c r="D2425" s="217"/>
      <c r="E2425" s="534"/>
      <c r="F2425" s="538"/>
      <c r="H2425" s="217"/>
      <c r="I2425" s="534"/>
      <c r="J2425" s="538"/>
    </row>
    <row r="2426" spans="4:10">
      <c r="D2426" s="371" t="s">
        <v>4</v>
      </c>
      <c r="E2426" s="532">
        <f>SUM(E2422:E2425)</f>
        <v>564</v>
      </c>
      <c r="F2426" s="533">
        <f>SUM(F2422:F2425)</f>
        <v>1692</v>
      </c>
      <c r="H2426" s="371" t="s">
        <v>4</v>
      </c>
      <c r="I2426" s="532">
        <f>SUM(I2422:I2425)</f>
        <v>906</v>
      </c>
      <c r="J2426" s="533">
        <f>SUM(J2422:J2425)</f>
        <v>2718</v>
      </c>
    </row>
    <row r="2428" spans="4:10" ht="15.75" thickBot="1"/>
    <row r="2429" spans="4:10" ht="15.75" thickBot="1">
      <c r="D2429" s="653" t="s">
        <v>0</v>
      </c>
      <c r="E2429" s="654"/>
      <c r="F2429" s="655"/>
      <c r="H2429" s="653" t="s">
        <v>0</v>
      </c>
      <c r="I2429" s="654"/>
      <c r="J2429" s="655"/>
    </row>
    <row r="2430" spans="4:10">
      <c r="D2430" s="641" t="s">
        <v>1</v>
      </c>
      <c r="E2430" s="543">
        <v>46276</v>
      </c>
      <c r="F2430" s="656" t="s">
        <v>184</v>
      </c>
      <c r="H2430" s="641" t="s">
        <v>1</v>
      </c>
      <c r="I2430" s="543">
        <v>46277</v>
      </c>
      <c r="J2430" s="656" t="s">
        <v>184</v>
      </c>
    </row>
    <row r="2431" spans="4:10">
      <c r="D2431" s="642" t="s">
        <v>2</v>
      </c>
      <c r="E2431" s="642" t="s">
        <v>3</v>
      </c>
      <c r="F2431" s="657"/>
      <c r="H2431" s="642" t="s">
        <v>2</v>
      </c>
      <c r="I2431" s="642" t="s">
        <v>3</v>
      </c>
      <c r="J2431" s="657"/>
    </row>
    <row r="2432" spans="4:10">
      <c r="D2432" s="608" t="s">
        <v>8</v>
      </c>
      <c r="E2432" s="217">
        <v>800</v>
      </c>
      <c r="F2432" s="634">
        <v>2400</v>
      </c>
      <c r="H2432" s="608" t="s">
        <v>399</v>
      </c>
      <c r="I2432" s="217">
        <v>800</v>
      </c>
      <c r="J2432" s="634">
        <v>2400</v>
      </c>
    </row>
    <row r="2433" spans="4:10">
      <c r="D2433" s="217"/>
      <c r="E2433" s="609"/>
      <c r="F2433" s="217"/>
      <c r="H2433" s="217"/>
      <c r="I2433" s="609"/>
      <c r="J2433" s="217"/>
    </row>
    <row r="2434" spans="4:10">
      <c r="D2434" s="217"/>
      <c r="E2434" s="642"/>
      <c r="F2434" s="642"/>
      <c r="H2434" s="217"/>
      <c r="I2434" s="642"/>
      <c r="J2434" s="642"/>
    </row>
    <row r="2435" spans="4:10">
      <c r="D2435" s="217"/>
      <c r="E2435" s="534"/>
      <c r="F2435" s="538"/>
      <c r="H2435" s="217"/>
      <c r="I2435" s="534"/>
      <c r="J2435" s="538"/>
    </row>
    <row r="2436" spans="4:10">
      <c r="D2436" s="371" t="s">
        <v>4</v>
      </c>
      <c r="E2436" s="532">
        <f>SUM(E2432:E2435)</f>
        <v>800</v>
      </c>
      <c r="F2436" s="533">
        <f>SUM(F2432:F2435)</f>
        <v>2400</v>
      </c>
      <c r="H2436" s="371" t="s">
        <v>4</v>
      </c>
      <c r="I2436" s="532">
        <f>SUM(I2432:I2435)</f>
        <v>800</v>
      </c>
      <c r="J2436" s="533">
        <f>SUM(J2432:J2435)</f>
        <v>2400</v>
      </c>
    </row>
    <row r="2438" spans="4:10" ht="15.75" thickBot="1"/>
    <row r="2439" spans="4:10" ht="15.75" thickBot="1">
      <c r="D2439" s="653" t="s">
        <v>0</v>
      </c>
      <c r="E2439" s="654"/>
      <c r="F2439" s="655"/>
      <c r="H2439" s="653" t="s">
        <v>0</v>
      </c>
      <c r="I2439" s="654"/>
      <c r="J2439" s="655"/>
    </row>
    <row r="2440" spans="4:10">
      <c r="D2440" s="641" t="s">
        <v>1</v>
      </c>
      <c r="E2440" s="543">
        <v>46279</v>
      </c>
      <c r="F2440" s="656" t="s">
        <v>184</v>
      </c>
      <c r="H2440" s="641" t="s">
        <v>1</v>
      </c>
      <c r="I2440" s="543">
        <v>46280</v>
      </c>
      <c r="J2440" s="656" t="s">
        <v>184</v>
      </c>
    </row>
    <row r="2441" spans="4:10">
      <c r="D2441" s="642" t="s">
        <v>2</v>
      </c>
      <c r="E2441" s="642" t="s">
        <v>3</v>
      </c>
      <c r="F2441" s="657"/>
      <c r="H2441" s="642" t="s">
        <v>2</v>
      </c>
      <c r="I2441" s="642" t="s">
        <v>3</v>
      </c>
      <c r="J2441" s="657"/>
    </row>
    <row r="2442" spans="4:10">
      <c r="D2442" s="608" t="s">
        <v>486</v>
      </c>
      <c r="E2442" s="217">
        <v>1800</v>
      </c>
      <c r="F2442" s="634">
        <v>9000</v>
      </c>
      <c r="H2442" s="608" t="s">
        <v>486</v>
      </c>
      <c r="I2442" s="217">
        <v>606</v>
      </c>
      <c r="J2442" s="634">
        <v>3030</v>
      </c>
    </row>
    <row r="2443" spans="4:10">
      <c r="D2443" s="217"/>
      <c r="E2443" s="609"/>
      <c r="F2443" s="217"/>
      <c r="H2443" s="217" t="s">
        <v>121</v>
      </c>
      <c r="I2443" s="609">
        <v>90</v>
      </c>
      <c r="J2443" s="217">
        <v>540</v>
      </c>
    </row>
    <row r="2444" spans="4:10">
      <c r="D2444" s="217"/>
      <c r="E2444" s="642"/>
      <c r="F2444" s="642"/>
      <c r="H2444" s="217"/>
      <c r="I2444" s="642"/>
      <c r="J2444" s="642"/>
    </row>
    <row r="2445" spans="4:10">
      <c r="D2445" s="217"/>
      <c r="E2445" s="534"/>
      <c r="F2445" s="538"/>
      <c r="H2445" s="217"/>
      <c r="I2445" s="534"/>
      <c r="J2445" s="538"/>
    </row>
    <row r="2446" spans="4:10">
      <c r="D2446" s="371" t="s">
        <v>4</v>
      </c>
      <c r="E2446" s="532">
        <f>SUM(E2442:E2445)</f>
        <v>1800</v>
      </c>
      <c r="F2446" s="533">
        <f>SUM(F2442:F2445)</f>
        <v>9000</v>
      </c>
      <c r="H2446" s="371" t="s">
        <v>4</v>
      </c>
      <c r="I2446" s="532">
        <f>SUM(I2442:I2445)</f>
        <v>696</v>
      </c>
      <c r="J2446" s="533">
        <f>SUM(J2442:J2445)</f>
        <v>3570</v>
      </c>
    </row>
    <row r="2448" spans="4:10" ht="15.75" thickBot="1"/>
    <row r="2449" spans="4:10" ht="15.75" thickBot="1">
      <c r="D2449" s="653" t="s">
        <v>0</v>
      </c>
      <c r="E2449" s="654"/>
      <c r="F2449" s="655"/>
      <c r="H2449" s="653" t="s">
        <v>0</v>
      </c>
      <c r="I2449" s="654"/>
      <c r="J2449" s="655"/>
    </row>
    <row r="2450" spans="4:10">
      <c r="D2450" s="641" t="s">
        <v>1</v>
      </c>
      <c r="E2450" s="543">
        <v>46281</v>
      </c>
      <c r="F2450" s="656" t="s">
        <v>184</v>
      </c>
      <c r="H2450" s="641" t="s">
        <v>1</v>
      </c>
      <c r="I2450" s="543">
        <v>46282</v>
      </c>
      <c r="J2450" s="656" t="s">
        <v>184</v>
      </c>
    </row>
    <row r="2451" spans="4:10">
      <c r="D2451" s="642" t="s">
        <v>2</v>
      </c>
      <c r="E2451" s="642" t="s">
        <v>3</v>
      </c>
      <c r="F2451" s="657"/>
      <c r="H2451" s="642" t="s">
        <v>2</v>
      </c>
      <c r="I2451" s="642" t="s">
        <v>3</v>
      </c>
      <c r="J2451" s="657"/>
    </row>
    <row r="2452" spans="4:10">
      <c r="D2452" s="608" t="s">
        <v>478</v>
      </c>
      <c r="E2452" s="217">
        <v>1527</v>
      </c>
      <c r="F2452" s="634">
        <v>9162</v>
      </c>
      <c r="H2452" s="608" t="s">
        <v>478</v>
      </c>
      <c r="I2452" s="217">
        <v>550</v>
      </c>
      <c r="J2452" s="634">
        <v>3300</v>
      </c>
    </row>
    <row r="2453" spans="4:10">
      <c r="D2453" s="217"/>
      <c r="E2453" s="609"/>
      <c r="F2453" s="217"/>
      <c r="H2453" s="217" t="s">
        <v>25</v>
      </c>
      <c r="I2453" s="609">
        <v>600</v>
      </c>
      <c r="J2453" s="217">
        <v>3600</v>
      </c>
    </row>
    <row r="2454" spans="4:10">
      <c r="D2454" s="217"/>
      <c r="E2454" s="642"/>
      <c r="F2454" s="642"/>
      <c r="H2454" s="217"/>
      <c r="I2454" s="642"/>
      <c r="J2454" s="642"/>
    </row>
    <row r="2455" spans="4:10">
      <c r="D2455" s="217"/>
      <c r="E2455" s="534"/>
      <c r="F2455" s="538"/>
      <c r="H2455" s="217"/>
      <c r="I2455" s="534"/>
      <c r="J2455" s="538"/>
    </row>
    <row r="2456" spans="4:10">
      <c r="D2456" s="371" t="s">
        <v>4</v>
      </c>
      <c r="E2456" s="532">
        <f>SUM(E2452:E2455)</f>
        <v>1527</v>
      </c>
      <c r="F2456" s="533">
        <f>SUM(F2452:F2455)</f>
        <v>9162</v>
      </c>
      <c r="H2456" s="371" t="s">
        <v>4</v>
      </c>
      <c r="I2456" s="532">
        <f>SUM(I2452:I2455)</f>
        <v>1150</v>
      </c>
      <c r="J2456" s="533">
        <f>SUM(J2452:J2455)</f>
        <v>6900</v>
      </c>
    </row>
    <row r="2458" spans="4:10" ht="15.75" thickBot="1"/>
    <row r="2459" spans="4:10" ht="15.75" thickBot="1">
      <c r="D2459" s="653" t="s">
        <v>0</v>
      </c>
      <c r="E2459" s="654"/>
      <c r="F2459" s="655"/>
      <c r="H2459" s="653" t="s">
        <v>0</v>
      </c>
      <c r="I2459" s="654"/>
      <c r="J2459" s="655"/>
    </row>
    <row r="2460" spans="4:10">
      <c r="D2460" s="641" t="s">
        <v>1</v>
      </c>
      <c r="E2460" s="543">
        <v>46283</v>
      </c>
      <c r="F2460" s="656" t="s">
        <v>184</v>
      </c>
      <c r="H2460" s="643" t="s">
        <v>1</v>
      </c>
      <c r="I2460" s="543">
        <v>46284</v>
      </c>
      <c r="J2460" s="656" t="s">
        <v>184</v>
      </c>
    </row>
    <row r="2461" spans="4:10">
      <c r="D2461" s="642" t="s">
        <v>2</v>
      </c>
      <c r="E2461" s="642" t="s">
        <v>3</v>
      </c>
      <c r="F2461" s="657"/>
      <c r="H2461" s="644" t="s">
        <v>2</v>
      </c>
      <c r="I2461" s="644" t="s">
        <v>3</v>
      </c>
      <c r="J2461" s="657"/>
    </row>
    <row r="2462" spans="4:10">
      <c r="D2462" s="608" t="s">
        <v>145</v>
      </c>
      <c r="E2462" s="217">
        <v>506</v>
      </c>
      <c r="F2462" s="634">
        <v>3036</v>
      </c>
      <c r="H2462" s="217" t="s">
        <v>251</v>
      </c>
      <c r="I2462" s="609">
        <v>400</v>
      </c>
      <c r="J2462" s="217">
        <v>1200</v>
      </c>
    </row>
    <row r="2463" spans="4:10">
      <c r="D2463" s="217" t="s">
        <v>251</v>
      </c>
      <c r="E2463" s="609">
        <v>400</v>
      </c>
      <c r="F2463" s="217">
        <v>1200</v>
      </c>
      <c r="H2463" s="257"/>
      <c r="I2463" s="257"/>
      <c r="J2463" s="257"/>
    </row>
    <row r="2464" spans="4:10">
      <c r="D2464" s="217"/>
      <c r="E2464" s="642"/>
      <c r="F2464" s="642"/>
      <c r="H2464" s="217"/>
      <c r="I2464" s="644"/>
      <c r="J2464" s="644"/>
    </row>
    <row r="2465" spans="4:11">
      <c r="D2465" s="217"/>
      <c r="E2465" s="534"/>
      <c r="F2465" s="538"/>
      <c r="H2465" s="217"/>
      <c r="I2465" s="534"/>
      <c r="J2465" s="538"/>
    </row>
    <row r="2466" spans="4:11">
      <c r="D2466" s="371" t="s">
        <v>4</v>
      </c>
      <c r="E2466" s="532">
        <f>SUM(E2462:E2465)</f>
        <v>906</v>
      </c>
      <c r="F2466" s="533">
        <f>SUM(F2462:F2465)</f>
        <v>4236</v>
      </c>
      <c r="H2466" s="371" t="s">
        <v>4</v>
      </c>
      <c r="I2466" s="532">
        <f>SUM(I2462:I2465)</f>
        <v>400</v>
      </c>
      <c r="J2466" s="533">
        <f>SUM(J2462:J2465)</f>
        <v>1200</v>
      </c>
    </row>
    <row r="2468" spans="4:11" ht="15.75" thickBot="1"/>
    <row r="2469" spans="4:11" ht="15.75" thickBot="1">
      <c r="D2469" s="653" t="s">
        <v>0</v>
      </c>
      <c r="E2469" s="654"/>
      <c r="F2469" s="655"/>
      <c r="H2469" s="653" t="s">
        <v>0</v>
      </c>
      <c r="I2469" s="654"/>
      <c r="J2469" s="655"/>
      <c r="K2469">
        <v>882</v>
      </c>
    </row>
    <row r="2470" spans="4:11">
      <c r="D2470" s="643" t="s">
        <v>1</v>
      </c>
      <c r="E2470" s="543">
        <v>46287</v>
      </c>
      <c r="F2470" s="656" t="s">
        <v>184</v>
      </c>
      <c r="H2470" s="643" t="s">
        <v>1</v>
      </c>
      <c r="I2470" s="543">
        <v>46289</v>
      </c>
      <c r="J2470" s="656" t="s">
        <v>184</v>
      </c>
    </row>
    <row r="2471" spans="4:11">
      <c r="D2471" s="644" t="s">
        <v>2</v>
      </c>
      <c r="E2471" s="644" t="s">
        <v>3</v>
      </c>
      <c r="F2471" s="657"/>
      <c r="H2471" s="644" t="s">
        <v>2</v>
      </c>
      <c r="I2471" s="644" t="s">
        <v>3</v>
      </c>
      <c r="J2471" s="657"/>
    </row>
    <row r="2472" spans="4:11">
      <c r="D2472" s="217" t="s">
        <v>487</v>
      </c>
      <c r="E2472" s="609">
        <v>352</v>
      </c>
      <c r="F2472" s="217">
        <v>1056</v>
      </c>
      <c r="H2472" s="217" t="s">
        <v>252</v>
      </c>
      <c r="I2472" s="609">
        <v>448</v>
      </c>
      <c r="J2472" s="217">
        <v>1344</v>
      </c>
    </row>
    <row r="2473" spans="4:11">
      <c r="D2473" s="257"/>
      <c r="E2473" s="257"/>
      <c r="F2473" s="257"/>
      <c r="H2473" s="217" t="s">
        <v>331</v>
      </c>
      <c r="I2473" s="217">
        <v>160</v>
      </c>
      <c r="J2473" s="217">
        <v>480</v>
      </c>
    </row>
    <row r="2474" spans="4:11">
      <c r="D2474" s="217"/>
      <c r="E2474" s="644"/>
      <c r="F2474" s="644"/>
      <c r="H2474" s="217"/>
      <c r="I2474" s="644"/>
      <c r="J2474" s="644"/>
    </row>
    <row r="2475" spans="4:11">
      <c r="D2475" s="217"/>
      <c r="E2475" s="534"/>
      <c r="F2475" s="538"/>
      <c r="H2475" s="217"/>
      <c r="I2475" s="534"/>
      <c r="J2475" s="538"/>
    </row>
    <row r="2476" spans="4:11">
      <c r="D2476" s="371" t="s">
        <v>4</v>
      </c>
      <c r="E2476" s="532">
        <f>SUM(E2472:E2475)</f>
        <v>352</v>
      </c>
      <c r="F2476" s="533">
        <f>SUM(F2472:F2475)</f>
        <v>1056</v>
      </c>
      <c r="H2476" s="371" t="s">
        <v>4</v>
      </c>
      <c r="I2476" s="532">
        <f>SUM(I2472:I2475)</f>
        <v>608</v>
      </c>
      <c r="J2476" s="533">
        <f>SUM(J2472:J2475)</f>
        <v>1824</v>
      </c>
    </row>
    <row r="2478" spans="4:11" ht="15.75" thickBot="1"/>
    <row r="2479" spans="4:11" ht="15.75" thickBot="1">
      <c r="D2479" s="653" t="s">
        <v>0</v>
      </c>
      <c r="E2479" s="654"/>
      <c r="F2479" s="655"/>
      <c r="H2479" s="653" t="s">
        <v>0</v>
      </c>
      <c r="I2479" s="654"/>
      <c r="J2479" s="655"/>
    </row>
    <row r="2480" spans="4:11">
      <c r="D2480" s="645" t="s">
        <v>1</v>
      </c>
      <c r="E2480" s="543">
        <v>46290</v>
      </c>
      <c r="F2480" s="656" t="s">
        <v>184</v>
      </c>
      <c r="H2480" s="645" t="s">
        <v>1</v>
      </c>
      <c r="I2480" s="543">
        <v>46291</v>
      </c>
      <c r="J2480" s="656" t="s">
        <v>184</v>
      </c>
    </row>
    <row r="2481" spans="4:10">
      <c r="D2481" s="646" t="s">
        <v>2</v>
      </c>
      <c r="E2481" s="646" t="s">
        <v>3</v>
      </c>
      <c r="F2481" s="657"/>
      <c r="H2481" s="646" t="s">
        <v>2</v>
      </c>
      <c r="I2481" s="646" t="s">
        <v>3</v>
      </c>
      <c r="J2481" s="657"/>
    </row>
    <row r="2482" spans="4:10">
      <c r="D2482" s="217" t="s">
        <v>331</v>
      </c>
      <c r="E2482" s="609">
        <v>640</v>
      </c>
      <c r="F2482" s="217">
        <v>1920</v>
      </c>
      <c r="H2482" s="217" t="s">
        <v>488</v>
      </c>
      <c r="I2482" s="609">
        <v>240</v>
      </c>
      <c r="J2482" s="217">
        <v>720</v>
      </c>
    </row>
    <row r="2483" spans="4:10">
      <c r="D2483" s="217" t="s">
        <v>488</v>
      </c>
      <c r="E2483" s="217">
        <v>160</v>
      </c>
      <c r="F2483" s="217">
        <v>480</v>
      </c>
      <c r="H2483" s="217" t="s">
        <v>34</v>
      </c>
      <c r="I2483" s="217">
        <v>400</v>
      </c>
      <c r="J2483" s="217">
        <v>1200</v>
      </c>
    </row>
    <row r="2484" spans="4:10">
      <c r="D2484" s="217"/>
      <c r="E2484" s="646"/>
      <c r="F2484" s="646"/>
      <c r="H2484" s="217"/>
      <c r="I2484" s="646"/>
      <c r="J2484" s="646"/>
    </row>
    <row r="2485" spans="4:10">
      <c r="D2485" s="217"/>
      <c r="E2485" s="534"/>
      <c r="F2485" s="538"/>
      <c r="H2485" s="217"/>
      <c r="I2485" s="534"/>
      <c r="J2485" s="538"/>
    </row>
    <row r="2486" spans="4:10">
      <c r="D2486" s="371" t="s">
        <v>4</v>
      </c>
      <c r="E2486" s="532">
        <f>SUM(E2482:E2485)</f>
        <v>800</v>
      </c>
      <c r="F2486" s="533">
        <f>SUM(F2482:F2485)</f>
        <v>2400</v>
      </c>
      <c r="H2486" s="371" t="s">
        <v>4</v>
      </c>
      <c r="I2486" s="532">
        <f>SUM(I2482:I2485)</f>
        <v>640</v>
      </c>
      <c r="J2486" s="533">
        <f>SUM(J2482:J2485)</f>
        <v>1920</v>
      </c>
    </row>
    <row r="2488" spans="4:10" ht="15.75" thickBot="1"/>
    <row r="2489" spans="4:10" ht="15.75" thickBot="1">
      <c r="D2489" s="653" t="s">
        <v>0</v>
      </c>
      <c r="E2489" s="654"/>
      <c r="F2489" s="655"/>
      <c r="H2489" s="653" t="s">
        <v>0</v>
      </c>
      <c r="I2489" s="654"/>
      <c r="J2489" s="655"/>
    </row>
    <row r="2490" spans="4:10">
      <c r="D2490" s="645" t="s">
        <v>1</v>
      </c>
      <c r="E2490" s="543">
        <v>46293</v>
      </c>
      <c r="F2490" s="656" t="s">
        <v>184</v>
      </c>
      <c r="H2490" s="645" t="s">
        <v>1</v>
      </c>
      <c r="I2490" s="543">
        <v>46294</v>
      </c>
      <c r="J2490" s="656" t="s">
        <v>184</v>
      </c>
    </row>
    <row r="2491" spans="4:10">
      <c r="D2491" s="646" t="s">
        <v>2</v>
      </c>
      <c r="E2491" s="646" t="s">
        <v>3</v>
      </c>
      <c r="F2491" s="657"/>
      <c r="H2491" s="646" t="s">
        <v>2</v>
      </c>
      <c r="I2491" s="646" t="s">
        <v>3</v>
      </c>
      <c r="J2491" s="657"/>
    </row>
    <row r="2492" spans="4:10">
      <c r="D2492" s="217" t="s">
        <v>473</v>
      </c>
      <c r="E2492" s="609">
        <v>92</v>
      </c>
      <c r="F2492" s="217">
        <v>276</v>
      </c>
      <c r="H2492" s="217" t="s">
        <v>473</v>
      </c>
      <c r="I2492" s="609">
        <v>305</v>
      </c>
      <c r="J2492" s="217">
        <v>915</v>
      </c>
    </row>
    <row r="2493" spans="4:10">
      <c r="D2493" s="217"/>
      <c r="E2493" s="217"/>
      <c r="F2493" s="217"/>
      <c r="H2493" s="217" t="s">
        <v>489</v>
      </c>
      <c r="I2493" s="217">
        <v>300</v>
      </c>
      <c r="J2493" s="217">
        <v>900</v>
      </c>
    </row>
    <row r="2494" spans="4:10">
      <c r="D2494" s="217"/>
      <c r="E2494" s="646"/>
      <c r="F2494" s="646"/>
      <c r="H2494" s="217"/>
      <c r="I2494" s="646"/>
      <c r="J2494" s="646"/>
    </row>
    <row r="2495" spans="4:10">
      <c r="D2495" s="217"/>
      <c r="E2495" s="534"/>
      <c r="F2495" s="538"/>
      <c r="H2495" s="217"/>
      <c r="I2495" s="534"/>
      <c r="J2495" s="538"/>
    </row>
    <row r="2496" spans="4:10">
      <c r="D2496" s="371" t="s">
        <v>4</v>
      </c>
      <c r="E2496" s="532">
        <f>SUM(E2492:E2495)</f>
        <v>92</v>
      </c>
      <c r="F2496" s="533">
        <f>SUM(F2492:F2495)</f>
        <v>276</v>
      </c>
      <c r="H2496" s="371" t="s">
        <v>4</v>
      </c>
      <c r="I2496" s="532">
        <f>SUM(I2492:I2495)</f>
        <v>605</v>
      </c>
      <c r="J2496" s="533">
        <f>SUM(J2492:J2495)</f>
        <v>1815</v>
      </c>
    </row>
    <row r="2498" spans="4:6" ht="15.75" thickBot="1"/>
    <row r="2499" spans="4:6" ht="15.75" thickBot="1">
      <c r="D2499" s="653" t="s">
        <v>0</v>
      </c>
      <c r="E2499" s="654"/>
      <c r="F2499" s="655"/>
    </row>
    <row r="2500" spans="4:6">
      <c r="D2500" s="645" t="s">
        <v>1</v>
      </c>
      <c r="E2500" s="543">
        <v>46295</v>
      </c>
      <c r="F2500" s="656" t="s">
        <v>184</v>
      </c>
    </row>
    <row r="2501" spans="4:6">
      <c r="D2501" s="646" t="s">
        <v>2</v>
      </c>
      <c r="E2501" s="646" t="s">
        <v>3</v>
      </c>
      <c r="F2501" s="657"/>
    </row>
    <row r="2502" spans="4:6">
      <c r="D2502" s="217" t="s">
        <v>367</v>
      </c>
      <c r="E2502" s="609">
        <v>100</v>
      </c>
      <c r="F2502" s="217">
        <v>300</v>
      </c>
    </row>
    <row r="2503" spans="4:6">
      <c r="D2503" s="217" t="s">
        <v>455</v>
      </c>
      <c r="E2503" s="217">
        <v>661</v>
      </c>
      <c r="F2503" s="217">
        <v>1983</v>
      </c>
    </row>
    <row r="2504" spans="4:6">
      <c r="D2504" s="217"/>
      <c r="E2504" s="646"/>
      <c r="F2504" s="646"/>
    </row>
    <row r="2505" spans="4:6">
      <c r="D2505" s="217"/>
      <c r="E2505" s="534"/>
      <c r="F2505" s="538"/>
    </row>
    <row r="2506" spans="4:6">
      <c r="D2506" s="371" t="s">
        <v>4</v>
      </c>
      <c r="E2506" s="532">
        <f>SUM(E2502:E2505)</f>
        <v>761</v>
      </c>
      <c r="F2506" s="533">
        <f>SUM(F2502:F2505)</f>
        <v>2283</v>
      </c>
    </row>
    <row r="2513" spans="4:10" ht="15.75" thickBot="1"/>
    <row r="2514" spans="4:10">
      <c r="D2514" s="658" t="s">
        <v>490</v>
      </c>
      <c r="E2514" s="659"/>
      <c r="F2514" s="659"/>
      <c r="G2514" s="659"/>
      <c r="H2514" s="659"/>
      <c r="I2514" s="659"/>
      <c r="J2514" s="660"/>
    </row>
    <row r="2515" spans="4:10" ht="15.75" thickBot="1">
      <c r="D2515" s="661"/>
      <c r="E2515" s="662"/>
      <c r="F2515" s="662"/>
      <c r="G2515" s="662"/>
      <c r="H2515" s="662"/>
      <c r="I2515" s="662"/>
      <c r="J2515" s="663"/>
    </row>
    <row r="2517" spans="4:10" ht="15.75" thickBot="1"/>
    <row r="2518" spans="4:10" ht="15.75" thickBot="1">
      <c r="D2518" s="653" t="s">
        <v>0</v>
      </c>
      <c r="E2518" s="654"/>
      <c r="F2518" s="655"/>
      <c r="H2518" s="653" t="s">
        <v>0</v>
      </c>
      <c r="I2518" s="654"/>
      <c r="J2518" s="655"/>
    </row>
    <row r="2519" spans="4:10">
      <c r="D2519" s="645" t="s">
        <v>1</v>
      </c>
      <c r="E2519" s="543">
        <v>46296</v>
      </c>
      <c r="F2519" s="656" t="s">
        <v>184</v>
      </c>
      <c r="H2519" s="645" t="s">
        <v>1</v>
      </c>
      <c r="I2519" s="543">
        <v>46297</v>
      </c>
      <c r="J2519" s="656" t="s">
        <v>184</v>
      </c>
    </row>
    <row r="2520" spans="4:10">
      <c r="D2520" s="646" t="s">
        <v>2</v>
      </c>
      <c r="E2520" s="646" t="s">
        <v>3</v>
      </c>
      <c r="F2520" s="657"/>
      <c r="H2520" s="646" t="s">
        <v>2</v>
      </c>
      <c r="I2520" s="646" t="s">
        <v>3</v>
      </c>
      <c r="J2520" s="657"/>
    </row>
    <row r="2521" spans="4:10">
      <c r="D2521" s="217" t="s">
        <v>455</v>
      </c>
      <c r="E2521" s="609">
        <v>139</v>
      </c>
      <c r="F2521" s="217">
        <v>417</v>
      </c>
      <c r="H2521" s="217" t="s">
        <v>25</v>
      </c>
      <c r="I2521" s="609">
        <v>400</v>
      </c>
      <c r="J2521" s="217">
        <v>2000</v>
      </c>
    </row>
    <row r="2522" spans="4:10">
      <c r="D2522" s="217" t="s">
        <v>25</v>
      </c>
      <c r="E2522" s="217">
        <v>1000</v>
      </c>
      <c r="F2522" s="217">
        <v>5000</v>
      </c>
      <c r="H2522" s="217" t="s">
        <v>491</v>
      </c>
      <c r="I2522" s="217">
        <v>300</v>
      </c>
      <c r="J2522" s="217">
        <v>900</v>
      </c>
    </row>
    <row r="2523" spans="4:10">
      <c r="D2523" s="217"/>
      <c r="E2523" s="646"/>
      <c r="F2523" s="646"/>
      <c r="H2523" s="217" t="s">
        <v>480</v>
      </c>
      <c r="I2523" s="646">
        <v>10</v>
      </c>
      <c r="J2523" s="646">
        <v>30</v>
      </c>
    </row>
    <row r="2524" spans="4:10">
      <c r="D2524" s="217"/>
      <c r="E2524" s="534"/>
      <c r="F2524" s="538"/>
      <c r="H2524" s="217"/>
      <c r="I2524" s="534"/>
      <c r="J2524" s="538"/>
    </row>
    <row r="2525" spans="4:10">
      <c r="D2525" s="371" t="s">
        <v>4</v>
      </c>
      <c r="E2525" s="532">
        <f>SUM(E2521:E2524)</f>
        <v>1139</v>
      </c>
      <c r="F2525" s="533">
        <f>SUM(F2521:F2524)</f>
        <v>5417</v>
      </c>
      <c r="H2525" s="371" t="s">
        <v>4</v>
      </c>
      <c r="I2525" s="532">
        <f>SUM(I2521:I2524)</f>
        <v>710</v>
      </c>
      <c r="J2525" s="533">
        <f>SUM(J2521:J2524)</f>
        <v>2930</v>
      </c>
    </row>
    <row r="2527" spans="4:10" ht="15.75" thickBot="1"/>
    <row r="2528" spans="4:10" ht="15.75" thickBot="1">
      <c r="D2528" s="653" t="s">
        <v>0</v>
      </c>
      <c r="E2528" s="654"/>
      <c r="F2528" s="655"/>
      <c r="H2528" s="653" t="s">
        <v>0</v>
      </c>
      <c r="I2528" s="654"/>
      <c r="J2528" s="655"/>
    </row>
    <row r="2529" spans="4:10">
      <c r="D2529" s="647" t="s">
        <v>1</v>
      </c>
      <c r="E2529" s="543">
        <v>46298</v>
      </c>
      <c r="F2529" s="656" t="s">
        <v>184</v>
      </c>
      <c r="H2529" s="647" t="s">
        <v>1</v>
      </c>
      <c r="I2529" s="543">
        <v>46301</v>
      </c>
      <c r="J2529" s="656" t="s">
        <v>184</v>
      </c>
    </row>
    <row r="2530" spans="4:10">
      <c r="D2530" s="648" t="s">
        <v>2</v>
      </c>
      <c r="E2530" s="648" t="s">
        <v>3</v>
      </c>
      <c r="F2530" s="657"/>
      <c r="H2530" s="648" t="s">
        <v>2</v>
      </c>
      <c r="I2530" s="648" t="s">
        <v>3</v>
      </c>
      <c r="J2530" s="657"/>
    </row>
    <row r="2531" spans="4:10">
      <c r="D2531" s="217" t="s">
        <v>480</v>
      </c>
      <c r="E2531" s="609">
        <v>592</v>
      </c>
      <c r="F2531" s="217">
        <v>1776</v>
      </c>
      <c r="H2531" s="217" t="s">
        <v>34</v>
      </c>
      <c r="I2531" s="609">
        <v>200</v>
      </c>
      <c r="J2531" s="217">
        <v>600</v>
      </c>
    </row>
    <row r="2532" spans="4:10">
      <c r="D2532" s="217" t="s">
        <v>34</v>
      </c>
      <c r="E2532" s="217">
        <v>200</v>
      </c>
      <c r="F2532" s="217">
        <v>600</v>
      </c>
      <c r="H2532" s="217" t="s">
        <v>480</v>
      </c>
      <c r="I2532" s="217">
        <v>197</v>
      </c>
      <c r="J2532" s="217">
        <v>591</v>
      </c>
    </row>
    <row r="2533" spans="4:10">
      <c r="D2533" s="217"/>
      <c r="E2533" s="648"/>
      <c r="F2533" s="648"/>
      <c r="H2533" s="217" t="s">
        <v>491</v>
      </c>
      <c r="I2533" s="648">
        <v>83</v>
      </c>
      <c r="J2533" s="648">
        <v>249</v>
      </c>
    </row>
    <row r="2534" spans="4:10">
      <c r="D2534" s="217"/>
      <c r="E2534" s="534"/>
      <c r="F2534" s="538"/>
      <c r="H2534" s="217"/>
      <c r="I2534" s="534"/>
      <c r="J2534" s="538"/>
    </row>
    <row r="2535" spans="4:10">
      <c r="D2535" s="371" t="s">
        <v>4</v>
      </c>
      <c r="E2535" s="532">
        <f>SUM(E2531:E2534)</f>
        <v>792</v>
      </c>
      <c r="F2535" s="533">
        <f>SUM(F2531:F2534)</f>
        <v>2376</v>
      </c>
      <c r="H2535" s="371" t="s">
        <v>4</v>
      </c>
      <c r="I2535" s="532">
        <f>SUM(I2531:I2534)</f>
        <v>480</v>
      </c>
      <c r="J2535" s="533">
        <f>SUM(J2531:J2534)</f>
        <v>1440</v>
      </c>
    </row>
    <row r="2537" spans="4:10" ht="15.75" thickBot="1"/>
    <row r="2538" spans="4:10" ht="15.75" thickBot="1">
      <c r="D2538" s="653" t="s">
        <v>0</v>
      </c>
      <c r="E2538" s="654"/>
      <c r="F2538" s="655"/>
      <c r="H2538" s="653" t="s">
        <v>0</v>
      </c>
      <c r="I2538" s="654"/>
      <c r="J2538" s="655"/>
    </row>
    <row r="2539" spans="4:10">
      <c r="D2539" s="647" t="s">
        <v>1</v>
      </c>
      <c r="E2539" s="543">
        <v>46302</v>
      </c>
      <c r="F2539" s="656" t="s">
        <v>184</v>
      </c>
      <c r="H2539" s="647" t="s">
        <v>1</v>
      </c>
      <c r="I2539" s="543">
        <v>46303</v>
      </c>
      <c r="J2539" s="656" t="s">
        <v>184</v>
      </c>
    </row>
    <row r="2540" spans="4:10">
      <c r="D2540" s="648" t="s">
        <v>2</v>
      </c>
      <c r="E2540" s="648" t="s">
        <v>3</v>
      </c>
      <c r="F2540" s="657"/>
      <c r="H2540" s="648" t="s">
        <v>2</v>
      </c>
      <c r="I2540" s="648" t="s">
        <v>3</v>
      </c>
      <c r="J2540" s="657"/>
    </row>
    <row r="2541" spans="4:10">
      <c r="D2541" s="217" t="s">
        <v>491</v>
      </c>
      <c r="E2541" s="609">
        <v>218</v>
      </c>
      <c r="F2541" s="217">
        <v>654</v>
      </c>
      <c r="H2541" s="217" t="s">
        <v>207</v>
      </c>
      <c r="I2541" s="609">
        <v>544</v>
      </c>
      <c r="J2541" s="217">
        <v>1632</v>
      </c>
    </row>
    <row r="2542" spans="4:10">
      <c r="D2542" s="217" t="s">
        <v>473</v>
      </c>
      <c r="E2542" s="217">
        <v>110</v>
      </c>
      <c r="F2542" s="217">
        <v>330</v>
      </c>
      <c r="H2542" s="217" t="s">
        <v>471</v>
      </c>
      <c r="I2542" s="217">
        <v>315</v>
      </c>
      <c r="J2542" s="217">
        <v>945</v>
      </c>
    </row>
    <row r="2543" spans="4:10">
      <c r="D2543" s="217" t="s">
        <v>207</v>
      </c>
      <c r="E2543" s="648">
        <v>256</v>
      </c>
      <c r="F2543" s="648">
        <v>768</v>
      </c>
      <c r="H2543" s="217"/>
      <c r="I2543" s="648"/>
      <c r="J2543" s="648"/>
    </row>
    <row r="2544" spans="4:10">
      <c r="D2544" s="217"/>
      <c r="E2544" s="534"/>
      <c r="F2544" s="538"/>
      <c r="H2544" s="217"/>
      <c r="I2544" s="534"/>
      <c r="J2544" s="538"/>
    </row>
    <row r="2545" spans="4:10">
      <c r="D2545" s="371" t="s">
        <v>4</v>
      </c>
      <c r="E2545" s="532">
        <f>SUM(E2541:E2544)</f>
        <v>584</v>
      </c>
      <c r="F2545" s="533">
        <f>SUM(F2541:F2544)</f>
        <v>1752</v>
      </c>
      <c r="H2545" s="371" t="s">
        <v>4</v>
      </c>
      <c r="I2545" s="532">
        <f>SUM(I2541:I2544)</f>
        <v>859</v>
      </c>
      <c r="J2545" s="533">
        <f>SUM(J2541:J2544)</f>
        <v>2577</v>
      </c>
    </row>
    <row r="2547" spans="4:10" ht="15.75" thickBot="1"/>
    <row r="2548" spans="4:10" ht="15.75" thickBot="1">
      <c r="D2548" s="653" t="s">
        <v>0</v>
      </c>
      <c r="E2548" s="654"/>
      <c r="F2548" s="655"/>
      <c r="H2548" s="653" t="s">
        <v>0</v>
      </c>
      <c r="I2548" s="654"/>
      <c r="J2548" s="655"/>
    </row>
    <row r="2549" spans="4:10">
      <c r="D2549" s="647" t="s">
        <v>1</v>
      </c>
      <c r="E2549" s="543">
        <v>46304</v>
      </c>
      <c r="F2549" s="656" t="s">
        <v>184</v>
      </c>
      <c r="H2549" s="649" t="s">
        <v>1</v>
      </c>
      <c r="I2549" s="543">
        <v>46305</v>
      </c>
      <c r="J2549" s="656" t="s">
        <v>184</v>
      </c>
    </row>
    <row r="2550" spans="4:10">
      <c r="D2550" s="648" t="s">
        <v>2</v>
      </c>
      <c r="E2550" s="648" t="s">
        <v>3</v>
      </c>
      <c r="F2550" s="657"/>
      <c r="H2550" s="650" t="s">
        <v>2</v>
      </c>
      <c r="I2550" s="650" t="s">
        <v>3</v>
      </c>
      <c r="J2550" s="657"/>
    </row>
    <row r="2551" spans="4:10">
      <c r="D2551" s="217" t="s">
        <v>472</v>
      </c>
      <c r="E2551" s="609">
        <v>120</v>
      </c>
      <c r="F2551" s="217">
        <v>360</v>
      </c>
      <c r="H2551" s="217" t="s">
        <v>251</v>
      </c>
      <c r="I2551" s="609">
        <v>170</v>
      </c>
      <c r="J2551" s="217">
        <v>510</v>
      </c>
    </row>
    <row r="2552" spans="4:10">
      <c r="D2552" s="217" t="s">
        <v>251</v>
      </c>
      <c r="E2552" s="217">
        <v>630</v>
      </c>
      <c r="F2552" s="217">
        <v>1890</v>
      </c>
      <c r="H2552" s="217" t="s">
        <v>398</v>
      </c>
      <c r="I2552" s="217">
        <v>133</v>
      </c>
      <c r="J2552" s="217">
        <v>665</v>
      </c>
    </row>
    <row r="2553" spans="4:10">
      <c r="D2553" s="217"/>
      <c r="E2553" s="648"/>
      <c r="F2553" s="648"/>
      <c r="H2553" s="217"/>
      <c r="I2553" s="650"/>
      <c r="J2553" s="650"/>
    </row>
    <row r="2554" spans="4:10">
      <c r="D2554" s="217"/>
      <c r="E2554" s="534"/>
      <c r="F2554" s="538"/>
      <c r="H2554" s="217"/>
      <c r="I2554" s="534"/>
      <c r="J2554" s="538"/>
    </row>
    <row r="2555" spans="4:10">
      <c r="D2555" s="371" t="s">
        <v>4</v>
      </c>
      <c r="E2555" s="532">
        <f>SUM(E2551:E2554)</f>
        <v>750</v>
      </c>
      <c r="F2555" s="533">
        <f>SUM(F2551:F2554)</f>
        <v>2250</v>
      </c>
      <c r="H2555" s="371" t="s">
        <v>4</v>
      </c>
      <c r="I2555" s="532">
        <f>SUM(I2551:I2554)</f>
        <v>303</v>
      </c>
      <c r="J2555" s="533">
        <f>SUM(J2551:J2554)</f>
        <v>1175</v>
      </c>
    </row>
    <row r="2557" spans="4:10" ht="15.75" thickBot="1"/>
    <row r="2558" spans="4:10" ht="15.75" thickBot="1">
      <c r="D2558" s="653" t="s">
        <v>0</v>
      </c>
      <c r="E2558" s="654"/>
      <c r="F2558" s="655"/>
    </row>
    <row r="2559" spans="4:10">
      <c r="D2559" s="651" t="s">
        <v>1</v>
      </c>
      <c r="E2559" s="543">
        <v>46306</v>
      </c>
      <c r="F2559" s="656" t="s">
        <v>184</v>
      </c>
    </row>
    <row r="2560" spans="4:10">
      <c r="D2560" s="652" t="s">
        <v>2</v>
      </c>
      <c r="E2560" s="652" t="s">
        <v>3</v>
      </c>
      <c r="F2560" s="657"/>
    </row>
    <row r="2561" spans="4:6">
      <c r="D2561" s="217"/>
      <c r="E2561" s="609"/>
      <c r="F2561" s="217"/>
    </row>
    <row r="2562" spans="4:6">
      <c r="D2562" s="217" t="s">
        <v>398</v>
      </c>
      <c r="E2562" s="217"/>
      <c r="F2562" s="217"/>
    </row>
    <row r="2563" spans="4:6">
      <c r="D2563" s="217"/>
      <c r="E2563" s="652"/>
      <c r="F2563" s="652"/>
    </row>
    <row r="2564" spans="4:6">
      <c r="D2564" s="217"/>
      <c r="E2564" s="534"/>
      <c r="F2564" s="538"/>
    </row>
    <row r="2565" spans="4:6">
      <c r="D2565" s="371" t="s">
        <v>4</v>
      </c>
      <c r="E2565" s="532">
        <f>SUM(E2561:E2564)</f>
        <v>0</v>
      </c>
      <c r="F2565" s="533">
        <f>SUM(F2561:F2564)</f>
        <v>0</v>
      </c>
    </row>
  </sheetData>
  <mergeCells count="827">
    <mergeCell ref="F2500:F2501"/>
    <mergeCell ref="D2514:J2515"/>
    <mergeCell ref="D2518:F2518"/>
    <mergeCell ref="F2519:F2520"/>
    <mergeCell ref="H2518:J2518"/>
    <mergeCell ref="J2519:J2520"/>
    <mergeCell ref="D2479:F2479"/>
    <mergeCell ref="F2480:F2481"/>
    <mergeCell ref="H2479:J2479"/>
    <mergeCell ref="J2480:J2481"/>
    <mergeCell ref="D2489:F2489"/>
    <mergeCell ref="F2490:F2491"/>
    <mergeCell ref="H2489:J2489"/>
    <mergeCell ref="J2490:J2491"/>
    <mergeCell ref="D2499:F2499"/>
    <mergeCell ref="D2306:F2306"/>
    <mergeCell ref="F2307:F2308"/>
    <mergeCell ref="H2306:J2306"/>
    <mergeCell ref="J2307:J2308"/>
    <mergeCell ref="D2326:F2326"/>
    <mergeCell ref="F2327:F2328"/>
    <mergeCell ref="H2326:J2326"/>
    <mergeCell ref="J2327:J2328"/>
    <mergeCell ref="D2399:F2399"/>
    <mergeCell ref="D2356:F2356"/>
    <mergeCell ref="D2386:J2387"/>
    <mergeCell ref="D2390:F2390"/>
    <mergeCell ref="F2391:F2392"/>
    <mergeCell ref="H2390:J2390"/>
    <mergeCell ref="J2391:J2392"/>
    <mergeCell ref="J2357:J2358"/>
    <mergeCell ref="D2366:F2366"/>
    <mergeCell ref="F2367:F2368"/>
    <mergeCell ref="H2366:J2366"/>
    <mergeCell ref="J2367:J2368"/>
    <mergeCell ref="D2376:F2376"/>
    <mergeCell ref="F2377:F2378"/>
    <mergeCell ref="H2376:J2376"/>
    <mergeCell ref="J2377:J2378"/>
    <mergeCell ref="D2316:F2316"/>
    <mergeCell ref="F2317:F2318"/>
    <mergeCell ref="H2316:J2316"/>
    <mergeCell ref="J2317:J2318"/>
    <mergeCell ref="H2336:J2336"/>
    <mergeCell ref="J2337:J2338"/>
    <mergeCell ref="H2356:J2356"/>
    <mergeCell ref="D2346:F2346"/>
    <mergeCell ref="F2347:F2348"/>
    <mergeCell ref="H2346:J2346"/>
    <mergeCell ref="J2347:J2348"/>
    <mergeCell ref="H2221:J2221"/>
    <mergeCell ref="J2222:J2223"/>
    <mergeCell ref="D2231:F2231"/>
    <mergeCell ref="F2232:F2233"/>
    <mergeCell ref="D2251:F2251"/>
    <mergeCell ref="H2251:J2251"/>
    <mergeCell ref="D2261:F2261"/>
    <mergeCell ref="H2286:J2286"/>
    <mergeCell ref="D1791:E1791"/>
    <mergeCell ref="H1791:I1791"/>
    <mergeCell ref="H1800:I1800"/>
    <mergeCell ref="D1800:E1800"/>
    <mergeCell ref="D2034:J2035"/>
    <mergeCell ref="D2038:F2038"/>
    <mergeCell ref="E2017:E2018"/>
    <mergeCell ref="F2017:F2018"/>
    <mergeCell ref="H2013:J2013"/>
    <mergeCell ref="J2014:J2015"/>
    <mergeCell ref="H2017:H2018"/>
    <mergeCell ref="I2017:I2018"/>
    <mergeCell ref="J2017:J2018"/>
    <mergeCell ref="H1984:J1984"/>
    <mergeCell ref="D1954:F1954"/>
    <mergeCell ref="H1954:J1954"/>
    <mergeCell ref="D1984:F1984"/>
    <mergeCell ref="D1974:F1974"/>
    <mergeCell ref="D1880:F1880"/>
    <mergeCell ref="H1782:I1782"/>
    <mergeCell ref="D1782:E1782"/>
    <mergeCell ref="H1840:J1840"/>
    <mergeCell ref="D1831:F1831"/>
    <mergeCell ref="H1831:J1831"/>
    <mergeCell ref="D1822:F1822"/>
    <mergeCell ref="H1900:J1900"/>
    <mergeCell ref="D1890:F1890"/>
    <mergeCell ref="D1870:F1870"/>
    <mergeCell ref="H1870:J1870"/>
    <mergeCell ref="D1850:F1850"/>
    <mergeCell ref="D1840:F1840"/>
    <mergeCell ref="D1964:F1964"/>
    <mergeCell ref="H1964:J1964"/>
    <mergeCell ref="J1955:J1956"/>
    <mergeCell ref="F1955:F1956"/>
    <mergeCell ref="D1920:J1921"/>
    <mergeCell ref="D1924:F1924"/>
    <mergeCell ref="H1924:J1924"/>
    <mergeCell ref="D1934:F1934"/>
    <mergeCell ref="J1935:J1936"/>
    <mergeCell ref="D1773:E1773"/>
    <mergeCell ref="H1773:I1773"/>
    <mergeCell ref="D1764:E1764"/>
    <mergeCell ref="H1764:I1764"/>
    <mergeCell ref="D1809:E1809"/>
    <mergeCell ref="H1809:I1809"/>
    <mergeCell ref="F1975:F1976"/>
    <mergeCell ref="H1974:J1974"/>
    <mergeCell ref="J1975:J1976"/>
    <mergeCell ref="D1910:F1910"/>
    <mergeCell ref="H1910:J1910"/>
    <mergeCell ref="D1818:J1819"/>
    <mergeCell ref="H1822:J1822"/>
    <mergeCell ref="H1850:J1850"/>
    <mergeCell ref="D1860:F1860"/>
    <mergeCell ref="H1860:J1860"/>
    <mergeCell ref="H1880:J1880"/>
    <mergeCell ref="H1890:J1890"/>
    <mergeCell ref="D1900:F1900"/>
    <mergeCell ref="J1965:J1966"/>
    <mergeCell ref="H1934:J1934"/>
    <mergeCell ref="D1944:F1944"/>
    <mergeCell ref="H1944:J1944"/>
    <mergeCell ref="F1935:F1936"/>
    <mergeCell ref="J1463:J1465"/>
    <mergeCell ref="F1463:F1465"/>
    <mergeCell ref="J1487:J1489"/>
    <mergeCell ref="J1471:J1473"/>
    <mergeCell ref="H1455:I1455"/>
    <mergeCell ref="J1455:J1457"/>
    <mergeCell ref="D1463:E1463"/>
    <mergeCell ref="D1715:J1716"/>
    <mergeCell ref="D1563:E1563"/>
    <mergeCell ref="F1563:F1565"/>
    <mergeCell ref="H1563:I1563"/>
    <mergeCell ref="J1563:J1565"/>
    <mergeCell ref="D1572:E1572"/>
    <mergeCell ref="F1572:F1574"/>
    <mergeCell ref="H1572:I1572"/>
    <mergeCell ref="J1572:J1574"/>
    <mergeCell ref="D1581:E1581"/>
    <mergeCell ref="F1581:F1583"/>
    <mergeCell ref="H1581:I1581"/>
    <mergeCell ref="J1581:J1583"/>
    <mergeCell ref="D1511:E1511"/>
    <mergeCell ref="F1511:F1513"/>
    <mergeCell ref="H1511:I1511"/>
    <mergeCell ref="J1447:J1449"/>
    <mergeCell ref="D1447:E1447"/>
    <mergeCell ref="D1471:E1471"/>
    <mergeCell ref="F1471:F1473"/>
    <mergeCell ref="D1439:E1439"/>
    <mergeCell ref="F1439:F1441"/>
    <mergeCell ref="H1439:I1439"/>
    <mergeCell ref="J1439:J1441"/>
    <mergeCell ref="J1511:J1513"/>
    <mergeCell ref="D1455:E1455"/>
    <mergeCell ref="F1455:F1457"/>
    <mergeCell ref="D1495:E1495"/>
    <mergeCell ref="F1495:F1497"/>
    <mergeCell ref="H1495:I1495"/>
    <mergeCell ref="J1495:J1497"/>
    <mergeCell ref="D1503:E1503"/>
    <mergeCell ref="F1503:F1505"/>
    <mergeCell ref="H1503:I1503"/>
    <mergeCell ref="J1503:J1505"/>
    <mergeCell ref="H1479:I1479"/>
    <mergeCell ref="J1479:J1481"/>
    <mergeCell ref="H1471:I1471"/>
    <mergeCell ref="D1479:E1479"/>
    <mergeCell ref="F1479:F1481"/>
    <mergeCell ref="F1447:F1449"/>
    <mergeCell ref="D1487:E1487"/>
    <mergeCell ref="F1487:F1489"/>
    <mergeCell ref="H1487:I1487"/>
    <mergeCell ref="H1447:I1447"/>
    <mergeCell ref="F1407:F1409"/>
    <mergeCell ref="H1407:I1407"/>
    <mergeCell ref="D1423:E1423"/>
    <mergeCell ref="D1407:E1407"/>
    <mergeCell ref="D1431:E1431"/>
    <mergeCell ref="H1463:I1463"/>
    <mergeCell ref="D1165:E1165"/>
    <mergeCell ref="H1165:I1165"/>
    <mergeCell ref="D1297:E1297"/>
    <mergeCell ref="D1181:E1181"/>
    <mergeCell ref="H1181:I1181"/>
    <mergeCell ref="F1331:F1333"/>
    <mergeCell ref="D1323:E1323"/>
    <mergeCell ref="F1323:F1325"/>
    <mergeCell ref="D1315:E1315"/>
    <mergeCell ref="F1315:F1317"/>
    <mergeCell ref="D1306:E1306"/>
    <mergeCell ref="F1306:F1308"/>
    <mergeCell ref="H1315:I1315"/>
    <mergeCell ref="H1323:I1323"/>
    <mergeCell ref="D1331:E1331"/>
    <mergeCell ref="H1331:I1331"/>
    <mergeCell ref="H1306:I1306"/>
    <mergeCell ref="D1221:E1221"/>
    <mergeCell ref="H1221:I1221"/>
    <mergeCell ref="H1189:I1189"/>
    <mergeCell ref="D1213:E1213"/>
    <mergeCell ref="F1269:F1271"/>
    <mergeCell ref="H1269:I1269"/>
    <mergeCell ref="D881:E881"/>
    <mergeCell ref="H957:I957"/>
    <mergeCell ref="D925:E925"/>
    <mergeCell ref="H918:I918"/>
    <mergeCell ref="H903:I903"/>
    <mergeCell ref="H888:I888"/>
    <mergeCell ref="D965:E965"/>
    <mergeCell ref="H965:I965"/>
    <mergeCell ref="D973:E973"/>
    <mergeCell ref="H973:I973"/>
    <mergeCell ref="D1053:E1053"/>
    <mergeCell ref="H1053:I1053"/>
    <mergeCell ref="D1037:E1037"/>
    <mergeCell ref="H1133:I1133"/>
    <mergeCell ref="H1149:I1149"/>
    <mergeCell ref="D1149:E1149"/>
    <mergeCell ref="H1213:I1213"/>
    <mergeCell ref="D1205:E1205"/>
    <mergeCell ref="H1205:I1205"/>
    <mergeCell ref="H1037:I1037"/>
    <mergeCell ref="D1045:E1045"/>
    <mergeCell ref="H1045:I1045"/>
    <mergeCell ref="H1069:I1069"/>
    <mergeCell ref="D1157:E1157"/>
    <mergeCell ref="H1157:I1157"/>
    <mergeCell ref="D1061:E1061"/>
    <mergeCell ref="D1101:E1101"/>
    <mergeCell ref="H1101:I1101"/>
    <mergeCell ref="D1093:E1093"/>
    <mergeCell ref="H1061:I1061"/>
    <mergeCell ref="H1173:I1173"/>
    <mergeCell ref="D1197:E1197"/>
    <mergeCell ref="H1197:I1197"/>
    <mergeCell ref="D1189:E1189"/>
    <mergeCell ref="H981:I981"/>
    <mergeCell ref="D1029:E1029"/>
    <mergeCell ref="H1029:I1029"/>
    <mergeCell ref="D1021:E1021"/>
    <mergeCell ref="H1021:I1021"/>
    <mergeCell ref="D1005:E1005"/>
    <mergeCell ref="H1005:I1005"/>
    <mergeCell ref="D1013:E1013"/>
    <mergeCell ref="H1013:I1013"/>
    <mergeCell ref="D997:E997"/>
    <mergeCell ref="D989:E989"/>
    <mergeCell ref="H989:I989"/>
    <mergeCell ref="H997:I997"/>
    <mergeCell ref="H873:I873"/>
    <mergeCell ref="H840:I840"/>
    <mergeCell ref="D865:E865"/>
    <mergeCell ref="H865:I865"/>
    <mergeCell ref="H848:I848"/>
    <mergeCell ref="F1297:F1299"/>
    <mergeCell ref="H1297:I1297"/>
    <mergeCell ref="D1237:E1237"/>
    <mergeCell ref="F1237:F1239"/>
    <mergeCell ref="H1237:I1237"/>
    <mergeCell ref="D1261:E1261"/>
    <mergeCell ref="F1261:F1263"/>
    <mergeCell ref="H1261:I1261"/>
    <mergeCell ref="F1229:F1231"/>
    <mergeCell ref="D1229:E1229"/>
    <mergeCell ref="H1229:I1229"/>
    <mergeCell ref="D1279:E1279"/>
    <mergeCell ref="F1279:F1281"/>
    <mergeCell ref="D1085:E1085"/>
    <mergeCell ref="D1077:E1077"/>
    <mergeCell ref="H1085:I1085"/>
    <mergeCell ref="D1069:E1069"/>
    <mergeCell ref="D1173:E1173"/>
    <mergeCell ref="D981:E981"/>
    <mergeCell ref="D832:E832"/>
    <mergeCell ref="D825:E825"/>
    <mergeCell ref="H752:I752"/>
    <mergeCell ref="H781:I781"/>
    <mergeCell ref="D770:E770"/>
    <mergeCell ref="H795:I795"/>
    <mergeCell ref="H857:I857"/>
    <mergeCell ref="H811:I811"/>
    <mergeCell ref="D840:E840"/>
    <mergeCell ref="D848:E848"/>
    <mergeCell ref="H832:I832"/>
    <mergeCell ref="H825:I825"/>
    <mergeCell ref="H818:I818"/>
    <mergeCell ref="D816:E816"/>
    <mergeCell ref="D809:E809"/>
    <mergeCell ref="A541:B541"/>
    <mergeCell ref="A532:B532"/>
    <mergeCell ref="D514:E514"/>
    <mergeCell ref="A514:B514"/>
    <mergeCell ref="H588:I588"/>
    <mergeCell ref="A550:B550"/>
    <mergeCell ref="D628:E628"/>
    <mergeCell ref="H668:I668"/>
    <mergeCell ref="H745:I745"/>
    <mergeCell ref="H678:I678"/>
    <mergeCell ref="H737:I737"/>
    <mergeCell ref="H718:I718"/>
    <mergeCell ref="H658:I658"/>
    <mergeCell ref="H638:I638"/>
    <mergeCell ref="A658:B658"/>
    <mergeCell ref="A648:B648"/>
    <mergeCell ref="A638:B638"/>
    <mergeCell ref="H731:I731"/>
    <mergeCell ref="H724:I724"/>
    <mergeCell ref="D726:E726"/>
    <mergeCell ref="D720:E720"/>
    <mergeCell ref="D668:E668"/>
    <mergeCell ref="D699:E699"/>
    <mergeCell ref="D692:E692"/>
    <mergeCell ref="A588:B588"/>
    <mergeCell ref="D568:E568"/>
    <mergeCell ref="D686:E686"/>
    <mergeCell ref="D598:E598"/>
    <mergeCell ref="D559:E559"/>
    <mergeCell ref="D638:E638"/>
    <mergeCell ref="H802:I802"/>
    <mergeCell ref="D792:E792"/>
    <mergeCell ref="A598:B598"/>
    <mergeCell ref="H788:I788"/>
    <mergeCell ref="D800:E800"/>
    <mergeCell ref="D785:E785"/>
    <mergeCell ref="D778:E778"/>
    <mergeCell ref="D756:E756"/>
    <mergeCell ref="H761:I761"/>
    <mergeCell ref="D749:E749"/>
    <mergeCell ref="D763:E763"/>
    <mergeCell ref="A559:B559"/>
    <mergeCell ref="D742:E742"/>
    <mergeCell ref="A568:B568"/>
    <mergeCell ref="A668:B668"/>
    <mergeCell ref="A628:B628"/>
    <mergeCell ref="A618:B618"/>
    <mergeCell ref="D578:E578"/>
    <mergeCell ref="A410:B410"/>
    <mergeCell ref="A449:B449"/>
    <mergeCell ref="A523:B523"/>
    <mergeCell ref="D532:E532"/>
    <mergeCell ref="D495:E495"/>
    <mergeCell ref="A495:B495"/>
    <mergeCell ref="D449:E449"/>
    <mergeCell ref="A458:B458"/>
    <mergeCell ref="A441:B441"/>
    <mergeCell ref="D458:E458"/>
    <mergeCell ref="A425:B425"/>
    <mergeCell ref="A417:B417"/>
    <mergeCell ref="A433:B433"/>
    <mergeCell ref="A467:B467"/>
    <mergeCell ref="D505:E505"/>
    <mergeCell ref="A486:B486"/>
    <mergeCell ref="A505:B505"/>
    <mergeCell ref="D486:E486"/>
    <mergeCell ref="D523:E523"/>
    <mergeCell ref="A608:B608"/>
    <mergeCell ref="A578:B578"/>
    <mergeCell ref="H191:I191"/>
    <mergeCell ref="H139:I139"/>
    <mergeCell ref="A476:B476"/>
    <mergeCell ref="H211:I211"/>
    <mergeCell ref="H226:I226"/>
    <mergeCell ref="H254:I254"/>
    <mergeCell ref="H179:I179"/>
    <mergeCell ref="D245:E245"/>
    <mergeCell ref="D238:E238"/>
    <mergeCell ref="D277:E277"/>
    <mergeCell ref="D185:E185"/>
    <mergeCell ref="D196:E196"/>
    <mergeCell ref="D259:E259"/>
    <mergeCell ref="D202:E202"/>
    <mergeCell ref="H198:I198"/>
    <mergeCell ref="D209:E209"/>
    <mergeCell ref="D300:E300"/>
    <mergeCell ref="D390:E390"/>
    <mergeCell ref="H383:I383"/>
    <mergeCell ref="D354:E354"/>
    <mergeCell ref="H363:I363"/>
    <mergeCell ref="D171:E171"/>
    <mergeCell ref="H151:I151"/>
    <mergeCell ref="D216:E216"/>
    <mergeCell ref="H119:I119"/>
    <mergeCell ref="D120:E120"/>
    <mergeCell ref="H292:I292"/>
    <mergeCell ref="D402:E402"/>
    <mergeCell ref="H340:I340"/>
    <mergeCell ref="D361:E361"/>
    <mergeCell ref="D222:E222"/>
    <mergeCell ref="D230:E230"/>
    <mergeCell ref="D133:E133"/>
    <mergeCell ref="D140:E140"/>
    <mergeCell ref="H276:I276"/>
    <mergeCell ref="H240:I240"/>
    <mergeCell ref="H219:I219"/>
    <mergeCell ref="H268:I268"/>
    <mergeCell ref="H247:I247"/>
    <mergeCell ref="H261:I261"/>
    <mergeCell ref="H234:I234"/>
    <mergeCell ref="D148:E148"/>
    <mergeCell ref="D265:E265"/>
    <mergeCell ref="D178:E178"/>
    <mergeCell ref="H173:I173"/>
    <mergeCell ref="H158:I158"/>
    <mergeCell ref="D162:E162"/>
    <mergeCell ref="D252:E252"/>
    <mergeCell ref="H1:I1"/>
    <mergeCell ref="H8:I8"/>
    <mergeCell ref="D97:E97"/>
    <mergeCell ref="H64:I64"/>
    <mergeCell ref="H125:I125"/>
    <mergeCell ref="H132:I132"/>
    <mergeCell ref="H185:I185"/>
    <mergeCell ref="D35:E35"/>
    <mergeCell ref="H14:I14"/>
    <mergeCell ref="H20:I20"/>
    <mergeCell ref="H35:I35"/>
    <mergeCell ref="H49:I49"/>
    <mergeCell ref="H41:I41"/>
    <mergeCell ref="H28:I28"/>
    <mergeCell ref="H56:I56"/>
    <mergeCell ref="D29:E29"/>
    <mergeCell ref="D8:E8"/>
    <mergeCell ref="D22:E22"/>
    <mergeCell ref="D42:E42"/>
    <mergeCell ref="D154:E154"/>
    <mergeCell ref="H167:I167"/>
    <mergeCell ref="D103:E103"/>
    <mergeCell ref="D126:E126"/>
    <mergeCell ref="H145:I145"/>
    <mergeCell ref="K97:L97"/>
    <mergeCell ref="H102:I102"/>
    <mergeCell ref="H90:I90"/>
    <mergeCell ref="D90:E90"/>
    <mergeCell ref="H97:J97"/>
    <mergeCell ref="D83:E83"/>
    <mergeCell ref="H78:I78"/>
    <mergeCell ref="H71:I71"/>
    <mergeCell ref="D111:E111"/>
    <mergeCell ref="H110:I110"/>
    <mergeCell ref="A1:B1"/>
    <mergeCell ref="D1:E1"/>
    <mergeCell ref="D15:E15"/>
    <mergeCell ref="A81:B81"/>
    <mergeCell ref="A44:B44"/>
    <mergeCell ref="A36:B36"/>
    <mergeCell ref="A28:B28"/>
    <mergeCell ref="A22:B22"/>
    <mergeCell ref="A50:B50"/>
    <mergeCell ref="D50:E50"/>
    <mergeCell ref="D69:E69"/>
    <mergeCell ref="D56:E56"/>
    <mergeCell ref="D62:E62"/>
    <mergeCell ref="D76:E76"/>
    <mergeCell ref="A7:B7"/>
    <mergeCell ref="A15:B15"/>
    <mergeCell ref="H204:I204"/>
    <mergeCell ref="D550:E550"/>
    <mergeCell ref="H505:I505"/>
    <mergeCell ref="H495:I495"/>
    <mergeCell ref="D467:E467"/>
    <mergeCell ref="D476:E476"/>
    <mergeCell ref="D441:E441"/>
    <mergeCell ref="D417:E417"/>
    <mergeCell ref="H550:I550"/>
    <mergeCell ref="D433:E433"/>
    <mergeCell ref="H433:I433"/>
    <mergeCell ref="D425:E425"/>
    <mergeCell ref="H356:I356"/>
    <mergeCell ref="H370:I370"/>
    <mergeCell ref="D396:E396"/>
    <mergeCell ref="D376:E376"/>
    <mergeCell ref="D369:E369"/>
    <mergeCell ref="H523:I523"/>
    <mergeCell ref="H541:I541"/>
    <mergeCell ref="H283:I283"/>
    <mergeCell ref="D292:E292"/>
    <mergeCell ref="H311:I311"/>
    <mergeCell ref="H300:I300"/>
    <mergeCell ref="H349:I349"/>
    <mergeCell ref="D285:E285"/>
    <mergeCell ref="H686:I686"/>
    <mergeCell ref="H774:I774"/>
    <mergeCell ref="D618:E618"/>
    <mergeCell ref="D733:E733"/>
    <mergeCell ref="D678:E678"/>
    <mergeCell ref="D713:E713"/>
    <mergeCell ref="H767:I767"/>
    <mergeCell ref="D706:E706"/>
    <mergeCell ref="H710:I710"/>
    <mergeCell ref="H532:I532"/>
    <mergeCell ref="H425:I425"/>
    <mergeCell ref="H449:I449"/>
    <mergeCell ref="H441:I441"/>
    <mergeCell ref="H458:I458"/>
    <mergeCell ref="D588:E588"/>
    <mergeCell ref="H702:I702"/>
    <mergeCell ref="H598:I598"/>
    <mergeCell ref="H628:I628"/>
    <mergeCell ref="H578:I578"/>
    <mergeCell ref="D541:E541"/>
    <mergeCell ref="H608:I608"/>
    <mergeCell ref="D307:E307"/>
    <mergeCell ref="D658:E658"/>
    <mergeCell ref="K388:L388"/>
    <mergeCell ref="H390:I390"/>
    <mergeCell ref="H403:I403"/>
    <mergeCell ref="H410:I410"/>
    <mergeCell ref="H396:I396"/>
    <mergeCell ref="K387:L387"/>
    <mergeCell ref="H376:I376"/>
    <mergeCell ref="H318:I318"/>
    <mergeCell ref="H325:I325"/>
    <mergeCell ref="H333:I333"/>
    <mergeCell ref="D315:E315"/>
    <mergeCell ref="D648:E648"/>
    <mergeCell ref="D348:E348"/>
    <mergeCell ref="H417:I417"/>
    <mergeCell ref="D340:E340"/>
    <mergeCell ref="D324:E324"/>
    <mergeCell ref="D384:E384"/>
    <mergeCell ref="D410:E410"/>
    <mergeCell ref="D333:E333"/>
    <mergeCell ref="H618:I618"/>
    <mergeCell ref="H486:I486"/>
    <mergeCell ref="H559:I559"/>
    <mergeCell ref="H648:I648"/>
    <mergeCell ref="H693:I693"/>
    <mergeCell ref="H467:I467"/>
    <mergeCell ref="H568:I568"/>
    <mergeCell ref="H514:I514"/>
    <mergeCell ref="D949:E949"/>
    <mergeCell ref="H949:I949"/>
    <mergeCell ref="D957:E957"/>
    <mergeCell ref="H925:I925"/>
    <mergeCell ref="D933:E933"/>
    <mergeCell ref="D895:E895"/>
    <mergeCell ref="H881:I881"/>
    <mergeCell ref="H911:I911"/>
    <mergeCell ref="D911:E911"/>
    <mergeCell ref="D903:E903"/>
    <mergeCell ref="D941:E941"/>
    <mergeCell ref="H941:I941"/>
    <mergeCell ref="D888:E888"/>
    <mergeCell ref="D918:E918"/>
    <mergeCell ref="H895:I895"/>
    <mergeCell ref="H933:I933"/>
    <mergeCell ref="H476:I476"/>
    <mergeCell ref="D608:E608"/>
    <mergeCell ref="D857:E857"/>
    <mergeCell ref="D873:E873"/>
    <mergeCell ref="H1093:I1093"/>
    <mergeCell ref="D1133:E1133"/>
    <mergeCell ref="D1125:E1125"/>
    <mergeCell ref="H1125:I1125"/>
    <mergeCell ref="D1117:E1117"/>
    <mergeCell ref="H1117:I1117"/>
    <mergeCell ref="D1109:E1109"/>
    <mergeCell ref="H1109:I1109"/>
    <mergeCell ref="D1141:E1141"/>
    <mergeCell ref="H1141:I1141"/>
    <mergeCell ref="H1077:I1077"/>
    <mergeCell ref="J1407:J1409"/>
    <mergeCell ref="F1423:F1425"/>
    <mergeCell ref="J1221:J1223"/>
    <mergeCell ref="J1229:J1231"/>
    <mergeCell ref="J1287:J1289"/>
    <mergeCell ref="J1297:J1299"/>
    <mergeCell ref="J1237:J1239"/>
    <mergeCell ref="D1245:E1245"/>
    <mergeCell ref="F1245:F1247"/>
    <mergeCell ref="H1245:I1245"/>
    <mergeCell ref="J1245:J1247"/>
    <mergeCell ref="D1253:E1253"/>
    <mergeCell ref="F1253:F1255"/>
    <mergeCell ref="H1253:I1253"/>
    <mergeCell ref="D1269:E1269"/>
    <mergeCell ref="H1277:I1277"/>
    <mergeCell ref="D1287:E1287"/>
    <mergeCell ref="J1253:J1255"/>
    <mergeCell ref="J1261:J1263"/>
    <mergeCell ref="J1269:J1271"/>
    <mergeCell ref="J1277:J1279"/>
    <mergeCell ref="F1287:F1289"/>
    <mergeCell ref="H1287:I1287"/>
    <mergeCell ref="F1363:F1365"/>
    <mergeCell ref="H1355:I1355"/>
    <mergeCell ref="J1355:J1357"/>
    <mergeCell ref="D1355:E1355"/>
    <mergeCell ref="F1355:F1357"/>
    <mergeCell ref="F1431:F1433"/>
    <mergeCell ref="H1415:I1415"/>
    <mergeCell ref="J1415:J1417"/>
    <mergeCell ref="H1423:I1423"/>
    <mergeCell ref="J1423:J1425"/>
    <mergeCell ref="H1431:I1431"/>
    <mergeCell ref="J1431:J1433"/>
    <mergeCell ref="F1415:F1417"/>
    <mergeCell ref="D1399:E1399"/>
    <mergeCell ref="F1399:F1401"/>
    <mergeCell ref="H1399:I1399"/>
    <mergeCell ref="J1399:J1401"/>
    <mergeCell ref="J1323:J1325"/>
    <mergeCell ref="F1347:F1349"/>
    <mergeCell ref="D1415:E1415"/>
    <mergeCell ref="J1306:J1308"/>
    <mergeCell ref="D1381:E1381"/>
    <mergeCell ref="D1390:E1390"/>
    <mergeCell ref="F1390:F1392"/>
    <mergeCell ref="H1390:I1390"/>
    <mergeCell ref="J1390:J1392"/>
    <mergeCell ref="D1339:E1339"/>
    <mergeCell ref="F1339:F1341"/>
    <mergeCell ref="D1372:E1372"/>
    <mergeCell ref="F1372:F1374"/>
    <mergeCell ref="H1372:I1372"/>
    <mergeCell ref="J1372:J1374"/>
    <mergeCell ref="H1363:I1363"/>
    <mergeCell ref="J1363:J1365"/>
    <mergeCell ref="J1347:J1349"/>
    <mergeCell ref="J1339:J1341"/>
    <mergeCell ref="J1381:J1383"/>
    <mergeCell ref="H1381:I1381"/>
    <mergeCell ref="F1381:F1383"/>
    <mergeCell ref="H1339:I1339"/>
    <mergeCell ref="D1363:E1363"/>
    <mergeCell ref="D1347:E1347"/>
    <mergeCell ref="H1347:I1347"/>
    <mergeCell ref="J1315:J1317"/>
    <mergeCell ref="H1551:I1551"/>
    <mergeCell ref="J1551:J1553"/>
    <mergeCell ref="D1543:E1543"/>
    <mergeCell ref="F1543:F1545"/>
    <mergeCell ref="H1543:I1543"/>
    <mergeCell ref="J1543:J1545"/>
    <mergeCell ref="D1551:E1551"/>
    <mergeCell ref="F1551:F1553"/>
    <mergeCell ref="H1519:I1519"/>
    <mergeCell ref="J1519:J1521"/>
    <mergeCell ref="D1527:E1527"/>
    <mergeCell ref="F1527:F1529"/>
    <mergeCell ref="H1527:I1527"/>
    <mergeCell ref="J1527:J1529"/>
    <mergeCell ref="D1535:E1535"/>
    <mergeCell ref="F1535:F1537"/>
    <mergeCell ref="H1535:I1535"/>
    <mergeCell ref="J1535:J1537"/>
    <mergeCell ref="D1519:E1519"/>
    <mergeCell ref="F1519:F1521"/>
    <mergeCell ref="J1331:J1333"/>
    <mergeCell ref="F1925:F1926"/>
    <mergeCell ref="J1925:J1926"/>
    <mergeCell ref="D2067:F2067"/>
    <mergeCell ref="F2068:F2069"/>
    <mergeCell ref="H2067:J2067"/>
    <mergeCell ref="J2068:J2069"/>
    <mergeCell ref="F2049:F2050"/>
    <mergeCell ref="D2052:D2053"/>
    <mergeCell ref="E2052:E2053"/>
    <mergeCell ref="F2052:F2053"/>
    <mergeCell ref="J1945:J1946"/>
    <mergeCell ref="F1945:F1946"/>
    <mergeCell ref="D1993:F1993"/>
    <mergeCell ref="H1993:J1993"/>
    <mergeCell ref="F1994:F1995"/>
    <mergeCell ref="J1994:J1995"/>
    <mergeCell ref="J1985:J1986"/>
    <mergeCell ref="F1985:F1986"/>
    <mergeCell ref="F1965:F1966"/>
    <mergeCell ref="F2039:F2040"/>
    <mergeCell ref="D2042:D2043"/>
    <mergeCell ref="E2042:E2043"/>
    <mergeCell ref="F2042:F2043"/>
    <mergeCell ref="D2003:F2003"/>
    <mergeCell ref="F2004:F2005"/>
    <mergeCell ref="H2003:J2003"/>
    <mergeCell ref="H2048:J2048"/>
    <mergeCell ref="J2049:J2050"/>
    <mergeCell ref="D2048:F2048"/>
    <mergeCell ref="J2004:J2005"/>
    <mergeCell ref="D2013:F2013"/>
    <mergeCell ref="F2014:F2015"/>
    <mergeCell ref="D2017:D2018"/>
    <mergeCell ref="D2023:F2023"/>
    <mergeCell ref="F2024:F2025"/>
    <mergeCell ref="D2027:D2028"/>
    <mergeCell ref="E2027:E2028"/>
    <mergeCell ref="F2027:F2028"/>
    <mergeCell ref="H2038:J2038"/>
    <mergeCell ref="J2039:J2040"/>
    <mergeCell ref="H2042:H2043"/>
    <mergeCell ref="I2042:I2043"/>
    <mergeCell ref="J2042:J2043"/>
    <mergeCell ref="H2052:H2053"/>
    <mergeCell ref="I2052:I2053"/>
    <mergeCell ref="J2052:J2053"/>
    <mergeCell ref="D2057:F2057"/>
    <mergeCell ref="F2058:F2059"/>
    <mergeCell ref="D2061:D2062"/>
    <mergeCell ref="E2061:E2062"/>
    <mergeCell ref="F2061:F2062"/>
    <mergeCell ref="H2057:J2057"/>
    <mergeCell ref="J2058:J2059"/>
    <mergeCell ref="H2061:H2062"/>
    <mergeCell ref="I2061:I2062"/>
    <mergeCell ref="J2061:J2062"/>
    <mergeCell ref="D2181:F2181"/>
    <mergeCell ref="F2182:F2183"/>
    <mergeCell ref="H2181:J2181"/>
    <mergeCell ref="J2182:J2183"/>
    <mergeCell ref="H2191:J2191"/>
    <mergeCell ref="J2192:J2193"/>
    <mergeCell ref="D2077:F2077"/>
    <mergeCell ref="F2078:F2079"/>
    <mergeCell ref="H2077:J2077"/>
    <mergeCell ref="J2078:J2079"/>
    <mergeCell ref="F2148:F2149"/>
    <mergeCell ref="D2157:J2158"/>
    <mergeCell ref="D2161:F2161"/>
    <mergeCell ref="F2162:F2163"/>
    <mergeCell ref="H2161:J2161"/>
    <mergeCell ref="J2162:J2163"/>
    <mergeCell ref="D2171:F2171"/>
    <mergeCell ref="F2172:F2173"/>
    <mergeCell ref="H2171:J2171"/>
    <mergeCell ref="J2172:J2173"/>
    <mergeCell ref="H2087:J2087"/>
    <mergeCell ref="J2088:J2089"/>
    <mergeCell ref="D2107:F2107"/>
    <mergeCell ref="F2108:F2109"/>
    <mergeCell ref="H2107:J2107"/>
    <mergeCell ref="J2108:J2109"/>
    <mergeCell ref="D2117:F2117"/>
    <mergeCell ref="D2097:F2097"/>
    <mergeCell ref="F2098:F2099"/>
    <mergeCell ref="H2097:J2097"/>
    <mergeCell ref="J2098:J2099"/>
    <mergeCell ref="D2087:F2087"/>
    <mergeCell ref="F2088:F2089"/>
    <mergeCell ref="F2118:F2119"/>
    <mergeCell ref="H2117:J2117"/>
    <mergeCell ref="J2118:J2119"/>
    <mergeCell ref="D2127:F2127"/>
    <mergeCell ref="F2222:F2223"/>
    <mergeCell ref="F2128:F2129"/>
    <mergeCell ref="H2127:J2127"/>
    <mergeCell ref="J2128:J2129"/>
    <mergeCell ref="D2201:F2201"/>
    <mergeCell ref="F2202:F2203"/>
    <mergeCell ref="H2201:J2201"/>
    <mergeCell ref="J2202:J2203"/>
    <mergeCell ref="D2211:F2211"/>
    <mergeCell ref="F2212:F2213"/>
    <mergeCell ref="H2211:J2211"/>
    <mergeCell ref="J2212:J2213"/>
    <mergeCell ref="D2221:F2221"/>
    <mergeCell ref="D2137:F2137"/>
    <mergeCell ref="F2138:F2139"/>
    <mergeCell ref="H2137:J2137"/>
    <mergeCell ref="J2138:J2139"/>
    <mergeCell ref="D2191:F2191"/>
    <mergeCell ref="F2192:F2193"/>
    <mergeCell ref="D2147:F2147"/>
    <mergeCell ref="F2357:F2358"/>
    <mergeCell ref="H2399:J2399"/>
    <mergeCell ref="J2400:J2401"/>
    <mergeCell ref="D2409:F2409"/>
    <mergeCell ref="F2410:F2411"/>
    <mergeCell ref="H2231:J2231"/>
    <mergeCell ref="J2232:J2233"/>
    <mergeCell ref="H2241:J2241"/>
    <mergeCell ref="J2242:J2243"/>
    <mergeCell ref="D2241:F2241"/>
    <mergeCell ref="F2242:F2243"/>
    <mergeCell ref="F2400:F2401"/>
    <mergeCell ref="H2261:J2261"/>
    <mergeCell ref="D2271:F2271"/>
    <mergeCell ref="D2282:J2283"/>
    <mergeCell ref="D2286:F2286"/>
    <mergeCell ref="J2262:J2263"/>
    <mergeCell ref="D2296:F2296"/>
    <mergeCell ref="J2287:J2288"/>
    <mergeCell ref="F2297:F2298"/>
    <mergeCell ref="H2296:J2296"/>
    <mergeCell ref="J2297:J2298"/>
    <mergeCell ref="D2336:F2336"/>
    <mergeCell ref="F2337:F2338"/>
    <mergeCell ref="H2409:J2409"/>
    <mergeCell ref="J2410:J2411"/>
    <mergeCell ref="D2419:F2419"/>
    <mergeCell ref="F2420:F2421"/>
    <mergeCell ref="H2419:J2419"/>
    <mergeCell ref="J2420:J2421"/>
    <mergeCell ref="D2429:F2429"/>
    <mergeCell ref="F2430:F2431"/>
    <mergeCell ref="H2429:J2429"/>
    <mergeCell ref="J2430:J2431"/>
    <mergeCell ref="D2469:F2469"/>
    <mergeCell ref="F2470:F2471"/>
    <mergeCell ref="H2469:J2469"/>
    <mergeCell ref="J2470:J2471"/>
    <mergeCell ref="F2460:F2461"/>
    <mergeCell ref="D2439:F2439"/>
    <mergeCell ref="F2440:F2441"/>
    <mergeCell ref="H2439:J2439"/>
    <mergeCell ref="J2440:J2441"/>
    <mergeCell ref="D2449:F2449"/>
    <mergeCell ref="F2450:F2451"/>
    <mergeCell ref="H2449:J2449"/>
    <mergeCell ref="J2450:J2451"/>
    <mergeCell ref="D2459:F2459"/>
    <mergeCell ref="H2459:J2459"/>
    <mergeCell ref="J2460:J2461"/>
    <mergeCell ref="D2558:F2558"/>
    <mergeCell ref="F2559:F2560"/>
    <mergeCell ref="F2549:F2550"/>
    <mergeCell ref="D2528:F2528"/>
    <mergeCell ref="F2529:F2530"/>
    <mergeCell ref="H2528:J2528"/>
    <mergeCell ref="J2529:J2530"/>
    <mergeCell ref="D2538:F2538"/>
    <mergeCell ref="F2539:F2540"/>
    <mergeCell ref="H2538:J2538"/>
    <mergeCell ref="J2539:J2540"/>
    <mergeCell ref="D2548:F2548"/>
    <mergeCell ref="H2548:J2548"/>
    <mergeCell ref="J2549:J255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2026</vt:lpstr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estampado</dc:creator>
  <cp:lastModifiedBy>estampados</cp:lastModifiedBy>
  <cp:lastPrinted>2026-09-30T13:22:16Z</cp:lastPrinted>
  <dcterms:created xsi:type="dcterms:W3CDTF">2024-01-05T22:20:26Z</dcterms:created>
  <dcterms:modified xsi:type="dcterms:W3CDTF">2026-10-13T16:10:22Z</dcterms:modified>
</cp:coreProperties>
</file>
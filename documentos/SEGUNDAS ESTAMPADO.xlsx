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i\OneDrive\Documentos\telares\"/>
    </mc:Choice>
  </mc:AlternateContent>
  <xr:revisionPtr revIDLastSave="0" documentId="8_{7A6E3659-0E62-46DF-980E-B18B83FDD9A7}" xr6:coauthVersionLast="47" xr6:coauthVersionMax="47" xr10:uidLastSave="{00000000-0000-0000-0000-000000000000}"/>
  <bookViews>
    <workbookView xWindow="-60" yWindow="-60" windowWidth="20610" windowHeight="109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5" i="1" l="1"/>
  <c r="T25" i="1"/>
  <c r="S25" i="1"/>
  <c r="R25" i="1"/>
  <c r="Q25" i="1"/>
  <c r="W25" i="1"/>
  <c r="X25" i="1"/>
  <c r="V25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3" i="1"/>
  <c r="Y25" i="1" l="1"/>
</calcChain>
</file>

<file path=xl/sharedStrings.xml><?xml version="1.0" encoding="utf-8"?>
<sst xmlns="http://schemas.openxmlformats.org/spreadsheetml/2006/main" count="139" uniqueCount="68">
  <si>
    <t>FECHA</t>
  </si>
  <si>
    <t>Cliente</t>
  </si>
  <si>
    <t># PEDIDO / LINEA</t>
  </si>
  <si>
    <t>REFERENCIA</t>
  </si>
  <si>
    <t>LOGO HOTELERO - DISEÑO</t>
  </si>
  <si>
    <t>COLOR</t>
  </si>
  <si>
    <t>CANT. TOTAL REVISADAS</t>
  </si>
  <si>
    <t>Cant BUENA</t>
  </si>
  <si>
    <t>PEGAS</t>
  </si>
  <si>
    <t>ARRE. LATERALES</t>
  </si>
  <si>
    <t>OBSERVACIONES</t>
  </si>
  <si>
    <t>REVISADORAS</t>
  </si>
  <si>
    <t>DIMENCIONES</t>
  </si>
  <si>
    <t>%</t>
  </si>
  <si>
    <t>ARRE. CABECERAS</t>
  </si>
  <si>
    <t>BLANCA-MAYULIS-HEIDY-TATIANA</t>
  </si>
  <si>
    <t>ML1002</t>
  </si>
  <si>
    <t>35*60-350</t>
  </si>
  <si>
    <t>FRUTAS</t>
  </si>
  <si>
    <t>EST</t>
  </si>
  <si>
    <t>HEIDY -TATIANA</t>
  </si>
  <si>
    <t>GRANJA</t>
  </si>
  <si>
    <t>HEIDY -TATIANA- BLANCA -MAYULIS</t>
  </si>
  <si>
    <t>C280T</t>
  </si>
  <si>
    <t>60*120-280</t>
  </si>
  <si>
    <t>SPIDEY PEQUEÑO</t>
  </si>
  <si>
    <t xml:space="preserve">BLANCA-MAYULIS  </t>
  </si>
  <si>
    <t xml:space="preserve">SPIDERMAN GRANDE </t>
  </si>
  <si>
    <t xml:space="preserve">BLANCA-MAYULIS-HEIDY - TATIANA </t>
  </si>
  <si>
    <t xml:space="preserve">C MINNIE </t>
  </si>
  <si>
    <t xml:space="preserve">HEIDY-TATIANA -MAYULIS-BLANCA </t>
  </si>
  <si>
    <t>SKY</t>
  </si>
  <si>
    <t xml:space="preserve">HEIDY-TATIANA  </t>
  </si>
  <si>
    <t>STICTH NIÑA</t>
  </si>
  <si>
    <t>TATIANA-KEVIN-MAYULIS-BLANCA</t>
  </si>
  <si>
    <t>TOY STORY WOODY</t>
  </si>
  <si>
    <t xml:space="preserve">TATIANA-KEVIN  </t>
  </si>
  <si>
    <t>C BUZZ</t>
  </si>
  <si>
    <t xml:space="preserve">MAYULIS-BLANCA-HEIDY-TATIANA </t>
  </si>
  <si>
    <t xml:space="preserve">C MARIE </t>
  </si>
  <si>
    <t xml:space="preserve">MAYULIS-BLANCAA </t>
  </si>
  <si>
    <t xml:space="preserve">C CARS </t>
  </si>
  <si>
    <t>ME1002</t>
  </si>
  <si>
    <t>30*50-330</t>
  </si>
  <si>
    <t xml:space="preserve">NAVIDAD ANDU </t>
  </si>
  <si>
    <t>GREYS-HEIDY</t>
  </si>
  <si>
    <t>35*60-330</t>
  </si>
  <si>
    <t>QE UTENCILIO</t>
  </si>
  <si>
    <t>QE FRUTA</t>
  </si>
  <si>
    <t>SAFARI</t>
  </si>
  <si>
    <t>SPIDER MAN MARVEL</t>
  </si>
  <si>
    <t xml:space="preserve">620 con fondo rosado </t>
  </si>
  <si>
    <t>BUZZ</t>
  </si>
  <si>
    <t>JESSEI</t>
  </si>
  <si>
    <t>TATIANA-HEIDY-BLANCA-MAYULIS</t>
  </si>
  <si>
    <t>C MICKEY</t>
  </si>
  <si>
    <t xml:space="preserve">SPIDERMAN  </t>
  </si>
  <si>
    <t>TOTAL</t>
  </si>
  <si>
    <t>ESTAMPADO</t>
  </si>
  <si>
    <t>Manchas</t>
  </si>
  <si>
    <t>Repise</t>
  </si>
  <si>
    <t>FALTA PINTURA</t>
  </si>
  <si>
    <t>Logos Corridos</t>
  </si>
  <si>
    <t>Penetracion</t>
  </si>
  <si>
    <t>GRASA</t>
  </si>
  <si>
    <t>Descases</t>
  </si>
  <si>
    <t>Quemadas</t>
  </si>
  <si>
    <t>% Estampado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</si>
</sst>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4" fillId="2" borderId="1" xfId="1" applyNumberFormat="1" applyFont="1" applyFill="1" applyBorder="1"/>
    <xf numFmtId="0" fontId="0" fillId="0" borderId="8" xfId="0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9" xfId="0" applyBorder="1"/>
    <xf numFmtId="0" fontId="0" fillId="2" borderId="14" xfId="0" applyFill="1" applyBorder="1"/>
    <xf numFmtId="164" fontId="0" fillId="2" borderId="15" xfId="1" applyNumberFormat="1" applyFont="1" applyFill="1" applyBorder="1"/>
    <xf numFmtId="164" fontId="0" fillId="2" borderId="16" xfId="1" applyNumberFormat="1" applyFont="1" applyFill="1" applyBorder="1"/>
    <xf numFmtId="0" fontId="0" fillId="2" borderId="17" xfId="0" applyFill="1" applyBorder="1"/>
    <xf numFmtId="0" fontId="0" fillId="0" borderId="18" xfId="0" applyBorder="1"/>
    <xf numFmtId="0" fontId="0" fillId="2" borderId="18" xfId="0" applyFill="1" applyBorder="1"/>
    <xf numFmtId="0" fontId="0" fillId="0" borderId="18" xfId="0" applyBorder="1" applyAlignment="1">
      <alignment horizontal="center"/>
    </xf>
    <xf numFmtId="14" fontId="0" fillId="0" borderId="9" xfId="0" applyNumberFormat="1" applyBorder="1"/>
    <xf numFmtId="0" fontId="0" fillId="2" borderId="9" xfId="0" applyFill="1" applyBorder="1" applyAlignment="1">
      <alignment horizontal="left" wrapText="1"/>
    </xf>
    <xf numFmtId="0" fontId="2" fillId="0" borderId="14" xfId="0" applyFont="1" applyBorder="1"/>
    <xf numFmtId="0" fontId="4" fillId="0" borderId="7" xfId="0" applyFont="1" applyBorder="1" applyAlignment="1">
      <alignment horizontal="center"/>
    </xf>
    <xf numFmtId="14" fontId="0" fillId="0" borderId="8" xfId="0" applyNumberFormat="1" applyBorder="1"/>
    <xf numFmtId="0" fontId="0" fillId="2" borderId="8" xfId="0" applyFill="1" applyBorder="1" applyAlignment="1">
      <alignment horizontal="left" wrapText="1"/>
    </xf>
    <xf numFmtId="0" fontId="0" fillId="2" borderId="13" xfId="0" applyFill="1" applyBorder="1"/>
    <xf numFmtId="0" fontId="0" fillId="2" borderId="12" xfId="0" applyFill="1" applyBorder="1"/>
    <xf numFmtId="0" fontId="0" fillId="2" borderId="10" xfId="0" applyFill="1" applyBorder="1"/>
    <xf numFmtId="164" fontId="0" fillId="2" borderId="9" xfId="1" applyNumberFormat="1" applyFont="1" applyFill="1" applyBorder="1"/>
    <xf numFmtId="9" fontId="0" fillId="2" borderId="11" xfId="1" applyFont="1" applyFill="1" applyBorder="1"/>
    <xf numFmtId="0" fontId="5" fillId="0" borderId="18" xfId="0" applyFont="1" applyBorder="1"/>
    <xf numFmtId="0" fontId="3" fillId="3" borderId="9" xfId="0" applyFont="1" applyFill="1" applyBorder="1" applyAlignment="1">
      <alignment horizontal="center" vertical="center" textRotation="90"/>
    </xf>
    <xf numFmtId="0" fontId="0" fillId="2" borderId="9" xfId="0" applyFill="1" applyBorder="1"/>
    <xf numFmtId="14" fontId="0" fillId="2" borderId="9" xfId="0" applyNumberFormat="1" applyFill="1" applyBorder="1"/>
    <xf numFmtId="0" fontId="0" fillId="2" borderId="18" xfId="0" applyFill="1" applyBorder="1" applyAlignment="1">
      <alignment horizontal="center"/>
    </xf>
    <xf numFmtId="164" fontId="0" fillId="2" borderId="9" xfId="0" applyNumberFormat="1" applyFill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4" borderId="9" xfId="0" applyFont="1" applyFill="1" applyBorder="1" applyAlignment="1">
      <alignment horizontal="center" vertical="center" textRotation="90"/>
    </xf>
    <xf numFmtId="0" fontId="0" fillId="2" borderId="9" xfId="0" applyFill="1" applyBorder="1" applyAlignment="1">
      <alignment horizontal="center"/>
    </xf>
    <xf numFmtId="164" fontId="1" fillId="2" borderId="9" xfId="1" applyNumberFormat="1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textRotation="90"/>
    </xf>
    <xf numFmtId="0" fontId="3" fillId="3" borderId="9" xfId="0" applyFont="1" applyFill="1" applyBorder="1" applyAlignment="1">
      <alignment horizontal="center" vertical="center" textRotation="90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"/>
  <sheetViews>
    <sheetView tabSelected="1" zoomScale="70" zoomScaleNormal="70" workbookViewId="0">
      <selection activeCell="N36" sqref="N36"/>
    </sheetView>
  </sheetViews>
  <sheetFormatPr baseColWidth="10" defaultRowHeight="15" x14ac:dyDescent="0.25"/>
  <cols>
    <col min="1" max="1" width="12.42578125" bestFit="1" customWidth="1"/>
    <col min="2" max="2" width="38.140625" bestFit="1" customWidth="1"/>
    <col min="6" max="6" width="12.5703125" bestFit="1" customWidth="1"/>
    <col min="7" max="7" width="22.85546875" bestFit="1" customWidth="1"/>
    <col min="16" max="16" width="22.28515625" customWidth="1"/>
  </cols>
  <sheetData>
    <row r="1" spans="1:25" x14ac:dyDescent="0.25">
      <c r="A1" s="40" t="s">
        <v>0</v>
      </c>
      <c r="B1" s="28"/>
      <c r="C1" s="40" t="s">
        <v>1</v>
      </c>
      <c r="D1" s="40" t="s">
        <v>2</v>
      </c>
      <c r="E1" s="40" t="s">
        <v>3</v>
      </c>
      <c r="F1" s="28"/>
      <c r="G1" s="40" t="s">
        <v>4</v>
      </c>
      <c r="H1" s="40" t="s">
        <v>5</v>
      </c>
      <c r="I1" s="40" t="s">
        <v>6</v>
      </c>
      <c r="J1" s="40" t="s">
        <v>7</v>
      </c>
      <c r="K1" s="40" t="s">
        <v>8</v>
      </c>
      <c r="L1" s="40" t="s">
        <v>9</v>
      </c>
      <c r="M1" s="28"/>
      <c r="N1" s="28"/>
      <c r="O1" s="28"/>
      <c r="P1" s="40" t="s">
        <v>10</v>
      </c>
      <c r="Q1" s="38" t="s">
        <v>58</v>
      </c>
      <c r="R1" s="38"/>
      <c r="S1" s="38"/>
      <c r="T1" s="38"/>
      <c r="U1" s="38"/>
      <c r="V1" s="38"/>
      <c r="W1" s="38"/>
      <c r="X1" s="38"/>
      <c r="Y1" s="39" t="s">
        <v>67</v>
      </c>
    </row>
    <row r="2" spans="1:25" ht="88.5" x14ac:dyDescent="0.25">
      <c r="A2" s="40" t="s">
        <v>0</v>
      </c>
      <c r="B2" s="28" t="s">
        <v>11</v>
      </c>
      <c r="C2" s="40"/>
      <c r="D2" s="40"/>
      <c r="E2" s="40"/>
      <c r="F2" s="28" t="s">
        <v>12</v>
      </c>
      <c r="G2" s="40"/>
      <c r="H2" s="40"/>
      <c r="I2" s="40"/>
      <c r="J2" s="40"/>
      <c r="K2" s="40"/>
      <c r="L2" s="40"/>
      <c r="M2" s="28" t="s">
        <v>13</v>
      </c>
      <c r="N2" s="28" t="s">
        <v>14</v>
      </c>
      <c r="O2" s="28" t="s">
        <v>13</v>
      </c>
      <c r="P2" s="40"/>
      <c r="Q2" s="35" t="s">
        <v>59</v>
      </c>
      <c r="R2" s="35" t="s">
        <v>60</v>
      </c>
      <c r="S2" s="35" t="s">
        <v>61</v>
      </c>
      <c r="T2" s="35" t="s">
        <v>62</v>
      </c>
      <c r="U2" s="35" t="s">
        <v>63</v>
      </c>
      <c r="V2" s="35" t="s">
        <v>64</v>
      </c>
      <c r="W2" s="35" t="s">
        <v>65</v>
      </c>
      <c r="X2" s="35" t="s">
        <v>66</v>
      </c>
      <c r="Y2" s="39"/>
    </row>
    <row r="3" spans="1:25" x14ac:dyDescent="0.25">
      <c r="A3" s="16">
        <v>46240</v>
      </c>
      <c r="B3" s="16" t="s">
        <v>15</v>
      </c>
      <c r="C3" s="17"/>
      <c r="D3" s="8"/>
      <c r="E3" s="8" t="s">
        <v>16</v>
      </c>
      <c r="F3" s="8" t="s">
        <v>17</v>
      </c>
      <c r="G3" s="8" t="s">
        <v>18</v>
      </c>
      <c r="H3" s="15" t="s">
        <v>19</v>
      </c>
      <c r="I3" s="29">
        <v>3148</v>
      </c>
      <c r="J3" s="14">
        <v>2099</v>
      </c>
      <c r="K3" s="13">
        <v>271</v>
      </c>
      <c r="L3" s="12">
        <v>449</v>
      </c>
      <c r="M3" s="11">
        <v>0.1426302414231258</v>
      </c>
      <c r="N3" s="9">
        <v>225</v>
      </c>
      <c r="O3" s="10">
        <v>7.1473951715374837E-2</v>
      </c>
      <c r="P3" s="18"/>
      <c r="Q3" s="34">
        <v>38</v>
      </c>
      <c r="R3" s="34">
        <v>4</v>
      </c>
      <c r="S3" s="34">
        <v>8</v>
      </c>
      <c r="T3" s="34"/>
      <c r="U3" s="34"/>
      <c r="V3" s="34"/>
      <c r="W3" s="34"/>
      <c r="X3" s="34"/>
      <c r="Y3" s="37">
        <f>IFERROR((Q3+R3+T3+U3+W3+S3+V3+X3)/I3,("N/A"))</f>
        <v>1.588310038119441E-2</v>
      </c>
    </row>
    <row r="4" spans="1:25" x14ac:dyDescent="0.25">
      <c r="A4" s="16">
        <v>46240</v>
      </c>
      <c r="B4" s="16" t="s">
        <v>20</v>
      </c>
      <c r="C4" s="17"/>
      <c r="D4" s="8"/>
      <c r="E4" s="8" t="s">
        <v>16</v>
      </c>
      <c r="F4" s="8" t="s">
        <v>17</v>
      </c>
      <c r="G4" s="8" t="s">
        <v>21</v>
      </c>
      <c r="H4" s="15" t="s">
        <v>19</v>
      </c>
      <c r="I4" s="29">
        <v>4368</v>
      </c>
      <c r="J4" s="14">
        <v>3822</v>
      </c>
      <c r="K4" s="13">
        <v>134</v>
      </c>
      <c r="L4" s="12">
        <v>234</v>
      </c>
      <c r="M4" s="11">
        <v>5.3571428571428568E-2</v>
      </c>
      <c r="N4" s="9">
        <v>99</v>
      </c>
      <c r="O4" s="10">
        <v>2.2664835164835164E-2</v>
      </c>
      <c r="P4" s="18"/>
      <c r="Q4" s="34">
        <v>27</v>
      </c>
      <c r="R4" s="34"/>
      <c r="S4" s="34">
        <v>33</v>
      </c>
      <c r="T4" s="34">
        <v>3</v>
      </c>
      <c r="U4" s="34"/>
      <c r="V4" s="34"/>
      <c r="W4" s="34"/>
      <c r="X4" s="34"/>
      <c r="Y4" s="37">
        <f t="shared" ref="Y4:Y25" si="0">IFERROR((Q4+R4+T4+U4+W4+S4+V4+X4)/I4,("N/A"))</f>
        <v>1.4423076923076924E-2</v>
      </c>
    </row>
    <row r="5" spans="1:25" x14ac:dyDescent="0.25">
      <c r="A5" s="16">
        <v>46245</v>
      </c>
      <c r="B5" s="16" t="s">
        <v>22</v>
      </c>
      <c r="C5" s="17"/>
      <c r="D5" s="8"/>
      <c r="E5" s="8" t="s">
        <v>23</v>
      </c>
      <c r="F5" s="8" t="s">
        <v>24</v>
      </c>
      <c r="G5" s="16" t="s">
        <v>25</v>
      </c>
      <c r="H5" s="15" t="s">
        <v>19</v>
      </c>
      <c r="I5" s="29">
        <v>1984</v>
      </c>
      <c r="J5" s="14">
        <v>1497</v>
      </c>
      <c r="K5" s="13">
        <v>61</v>
      </c>
      <c r="L5" s="12">
        <v>204</v>
      </c>
      <c r="M5" s="11">
        <v>0.1028225806451613</v>
      </c>
      <c r="N5" s="9">
        <v>132</v>
      </c>
      <c r="O5" s="10">
        <v>6.6532258064516125E-2</v>
      </c>
      <c r="P5" s="9"/>
      <c r="Q5" s="34">
        <v>45</v>
      </c>
      <c r="R5" s="34">
        <v>2</v>
      </c>
      <c r="S5" s="34">
        <v>8</v>
      </c>
      <c r="T5" s="34"/>
      <c r="U5" s="34"/>
      <c r="V5" s="34"/>
      <c r="W5" s="34"/>
      <c r="X5" s="34"/>
      <c r="Y5" s="37">
        <f t="shared" si="0"/>
        <v>2.7721774193548387E-2</v>
      </c>
    </row>
    <row r="6" spans="1:25" x14ac:dyDescent="0.25">
      <c r="A6" s="16">
        <v>46245</v>
      </c>
      <c r="B6" s="16" t="s">
        <v>26</v>
      </c>
      <c r="C6" s="17"/>
      <c r="D6" s="8"/>
      <c r="E6" s="8" t="s">
        <v>23</v>
      </c>
      <c r="F6" s="8" t="s">
        <v>24</v>
      </c>
      <c r="G6" s="8" t="s">
        <v>27</v>
      </c>
      <c r="H6" s="15" t="s">
        <v>19</v>
      </c>
      <c r="I6" s="29">
        <v>539</v>
      </c>
      <c r="J6" s="14">
        <v>430</v>
      </c>
      <c r="K6" s="13">
        <v>25</v>
      </c>
      <c r="L6" s="12">
        <v>24</v>
      </c>
      <c r="M6" s="11">
        <v>4.4526901669758812E-2</v>
      </c>
      <c r="N6" s="9">
        <v>40</v>
      </c>
      <c r="O6" s="10">
        <v>7.4211502782931357E-2</v>
      </c>
      <c r="P6" s="9"/>
      <c r="Q6" s="34">
        <v>2</v>
      </c>
      <c r="R6" s="34">
        <v>3</v>
      </c>
      <c r="S6" s="34">
        <v>7</v>
      </c>
      <c r="T6" s="34"/>
      <c r="U6" s="34"/>
      <c r="V6" s="34"/>
      <c r="W6" s="34"/>
      <c r="X6" s="34"/>
      <c r="Y6" s="37">
        <f t="shared" si="0"/>
        <v>2.2263450834879406E-2</v>
      </c>
    </row>
    <row r="7" spans="1:25" x14ac:dyDescent="0.25">
      <c r="A7" s="16">
        <v>46245</v>
      </c>
      <c r="B7" s="16" t="s">
        <v>28</v>
      </c>
      <c r="C7" s="17"/>
      <c r="D7" s="8"/>
      <c r="E7" s="8" t="s">
        <v>23</v>
      </c>
      <c r="F7" s="8" t="s">
        <v>24</v>
      </c>
      <c r="G7" s="8" t="s">
        <v>29</v>
      </c>
      <c r="H7" s="15" t="s">
        <v>19</v>
      </c>
      <c r="I7" s="29">
        <v>2451</v>
      </c>
      <c r="J7" s="14">
        <v>1801</v>
      </c>
      <c r="K7" s="13">
        <v>117</v>
      </c>
      <c r="L7" s="12">
        <v>105</v>
      </c>
      <c r="M7" s="11">
        <v>4.2839657282741736E-2</v>
      </c>
      <c r="N7" s="9">
        <v>215</v>
      </c>
      <c r="O7" s="10">
        <v>8.771929824561403E-2</v>
      </c>
      <c r="P7" s="9"/>
      <c r="Q7" s="34">
        <v>31</v>
      </c>
      <c r="R7" s="34">
        <v>3</v>
      </c>
      <c r="S7" s="34">
        <v>58</v>
      </c>
      <c r="T7" s="34"/>
      <c r="U7" s="34"/>
      <c r="V7" s="34"/>
      <c r="W7" s="34">
        <v>6</v>
      </c>
      <c r="X7" s="34"/>
      <c r="Y7" s="37">
        <f t="shared" si="0"/>
        <v>3.9983680130558953E-2</v>
      </c>
    </row>
    <row r="8" spans="1:25" x14ac:dyDescent="0.25">
      <c r="A8" s="16">
        <v>46245</v>
      </c>
      <c r="B8" s="16" t="s">
        <v>30</v>
      </c>
      <c r="C8" s="17"/>
      <c r="D8" s="8"/>
      <c r="E8" s="8" t="s">
        <v>23</v>
      </c>
      <c r="F8" s="8" t="s">
        <v>24</v>
      </c>
      <c r="G8" s="8" t="s">
        <v>31</v>
      </c>
      <c r="H8" s="15" t="s">
        <v>19</v>
      </c>
      <c r="I8" s="29">
        <v>2809</v>
      </c>
      <c r="J8" s="27">
        <v>2136</v>
      </c>
      <c r="K8" s="13">
        <v>90</v>
      </c>
      <c r="L8" s="12">
        <v>210</v>
      </c>
      <c r="M8" s="11">
        <v>7.4759700961196149E-2</v>
      </c>
      <c r="N8" s="9">
        <v>285</v>
      </c>
      <c r="O8" s="10">
        <v>0.10145959416162335</v>
      </c>
      <c r="P8" s="9"/>
      <c r="Q8" s="34">
        <v>7</v>
      </c>
      <c r="R8" s="34">
        <v>6</v>
      </c>
      <c r="S8" s="34">
        <v>12</v>
      </c>
      <c r="T8" s="34"/>
      <c r="U8" s="34">
        <v>3</v>
      </c>
      <c r="V8" s="34">
        <v>8</v>
      </c>
      <c r="W8" s="34"/>
      <c r="X8" s="34">
        <v>2</v>
      </c>
      <c r="Y8" s="37">
        <f t="shared" si="0"/>
        <v>1.3527945888216448E-2</v>
      </c>
    </row>
    <row r="9" spans="1:25" x14ac:dyDescent="0.25">
      <c r="A9" s="16">
        <v>46245</v>
      </c>
      <c r="B9" s="16" t="s">
        <v>32</v>
      </c>
      <c r="C9" s="17"/>
      <c r="D9" s="8"/>
      <c r="E9" s="8" t="s">
        <v>23</v>
      </c>
      <c r="F9" s="8" t="s">
        <v>24</v>
      </c>
      <c r="G9" s="8" t="s">
        <v>33</v>
      </c>
      <c r="H9" s="15" t="s">
        <v>19</v>
      </c>
      <c r="I9" s="29">
        <v>2339</v>
      </c>
      <c r="J9" s="14">
        <v>1432</v>
      </c>
      <c r="K9" s="13">
        <v>107</v>
      </c>
      <c r="L9" s="12">
        <v>400</v>
      </c>
      <c r="M9" s="11">
        <v>0.17101325352714836</v>
      </c>
      <c r="N9" s="9">
        <v>334</v>
      </c>
      <c r="O9" s="10">
        <v>0.14279606669516887</v>
      </c>
      <c r="P9" s="9"/>
      <c r="Q9" s="34">
        <v>9</v>
      </c>
      <c r="R9" s="34"/>
      <c r="S9" s="34"/>
      <c r="T9" s="34"/>
      <c r="U9" s="34">
        <v>3</v>
      </c>
      <c r="V9" s="34">
        <v>6</v>
      </c>
      <c r="W9" s="34">
        <v>7</v>
      </c>
      <c r="X9" s="34"/>
      <c r="Y9" s="37">
        <f t="shared" si="0"/>
        <v>1.0688328345446772E-2</v>
      </c>
    </row>
    <row r="10" spans="1:25" x14ac:dyDescent="0.25">
      <c r="A10" s="16">
        <v>46246</v>
      </c>
      <c r="B10" s="30" t="s">
        <v>34</v>
      </c>
      <c r="C10" s="17"/>
      <c r="D10" s="29"/>
      <c r="E10" s="29" t="s">
        <v>23</v>
      </c>
      <c r="F10" s="29" t="s">
        <v>24</v>
      </c>
      <c r="G10" s="29" t="s">
        <v>35</v>
      </c>
      <c r="H10" s="31" t="s">
        <v>19</v>
      </c>
      <c r="I10" s="29">
        <v>2374</v>
      </c>
      <c r="J10" s="14">
        <v>1657</v>
      </c>
      <c r="K10" s="14">
        <v>103</v>
      </c>
      <c r="L10" s="12">
        <v>371</v>
      </c>
      <c r="M10" s="11">
        <v>0.15627632687447346</v>
      </c>
      <c r="N10" s="9">
        <v>132</v>
      </c>
      <c r="O10" s="10">
        <v>5.560235888795282E-2</v>
      </c>
      <c r="P10" s="9"/>
      <c r="Q10" s="36">
        <v>20</v>
      </c>
      <c r="R10" s="36">
        <v>8</v>
      </c>
      <c r="S10" s="36">
        <v>14</v>
      </c>
      <c r="T10" s="36"/>
      <c r="U10" s="36">
        <v>2</v>
      </c>
      <c r="V10" s="36"/>
      <c r="W10" s="36"/>
      <c r="X10" s="36"/>
      <c r="Y10" s="37">
        <f t="shared" si="0"/>
        <v>1.8534119629317607E-2</v>
      </c>
    </row>
    <row r="11" spans="1:25" x14ac:dyDescent="0.25">
      <c r="A11" s="16">
        <v>46246</v>
      </c>
      <c r="B11" s="30" t="s">
        <v>36</v>
      </c>
      <c r="C11" s="17"/>
      <c r="D11" s="29"/>
      <c r="E11" s="29" t="s">
        <v>23</v>
      </c>
      <c r="F11" s="29" t="s">
        <v>24</v>
      </c>
      <c r="G11" s="29" t="s">
        <v>37</v>
      </c>
      <c r="H11" s="31" t="s">
        <v>19</v>
      </c>
      <c r="I11" s="29">
        <v>1318</v>
      </c>
      <c r="J11" s="14">
        <v>1061</v>
      </c>
      <c r="K11" s="14">
        <v>49</v>
      </c>
      <c r="L11" s="12">
        <v>152</v>
      </c>
      <c r="M11" s="11">
        <v>0.11532625189681335</v>
      </c>
      <c r="N11" s="9">
        <v>40</v>
      </c>
      <c r="O11" s="10">
        <v>3.0349013657056147E-2</v>
      </c>
      <c r="P11" s="9"/>
      <c r="Q11" s="36">
        <v>6</v>
      </c>
      <c r="R11" s="36"/>
      <c r="S11" s="36"/>
      <c r="T11" s="36"/>
      <c r="U11" s="36">
        <v>1</v>
      </c>
      <c r="V11" s="36"/>
      <c r="W11" s="36">
        <v>1</v>
      </c>
      <c r="X11" s="36"/>
      <c r="Y11" s="37">
        <f t="shared" si="0"/>
        <v>6.0698027314112293E-3</v>
      </c>
    </row>
    <row r="12" spans="1:25" x14ac:dyDescent="0.25">
      <c r="A12" s="30">
        <v>46247</v>
      </c>
      <c r="B12" s="30" t="s">
        <v>38</v>
      </c>
      <c r="C12" s="17"/>
      <c r="D12" s="29"/>
      <c r="E12" s="29" t="s">
        <v>23</v>
      </c>
      <c r="F12" s="29" t="s">
        <v>24</v>
      </c>
      <c r="G12" s="29" t="s">
        <v>39</v>
      </c>
      <c r="H12" s="31" t="s">
        <v>19</v>
      </c>
      <c r="I12" s="29">
        <v>2353</v>
      </c>
      <c r="J12" s="14">
        <v>1391</v>
      </c>
      <c r="K12" s="14">
        <v>127</v>
      </c>
      <c r="L12" s="12">
        <v>327</v>
      </c>
      <c r="M12" s="11">
        <v>0.1389715257118572</v>
      </c>
      <c r="N12" s="9">
        <v>162</v>
      </c>
      <c r="O12" s="10">
        <v>6.8848278793030168E-2</v>
      </c>
      <c r="P12" s="9"/>
      <c r="Q12" s="36">
        <v>27</v>
      </c>
      <c r="R12" s="36">
        <v>5</v>
      </c>
      <c r="S12" s="36">
        <v>1</v>
      </c>
      <c r="T12" s="36"/>
      <c r="U12" s="36">
        <v>3</v>
      </c>
      <c r="V12" s="36">
        <v>6</v>
      </c>
      <c r="W12" s="36"/>
      <c r="X12" s="36">
        <v>6</v>
      </c>
      <c r="Y12" s="37">
        <f t="shared" si="0"/>
        <v>2.0399490012749683E-2</v>
      </c>
    </row>
    <row r="13" spans="1:25" x14ac:dyDescent="0.25">
      <c r="A13" s="30">
        <v>46248</v>
      </c>
      <c r="B13" s="30" t="s">
        <v>40</v>
      </c>
      <c r="C13" s="17"/>
      <c r="D13" s="29"/>
      <c r="E13" s="29" t="s">
        <v>23</v>
      </c>
      <c r="F13" s="29" t="s">
        <v>24</v>
      </c>
      <c r="G13" s="29" t="s">
        <v>41</v>
      </c>
      <c r="H13" s="31" t="s">
        <v>19</v>
      </c>
      <c r="I13" s="29">
        <v>2401</v>
      </c>
      <c r="J13" s="14">
        <v>2070</v>
      </c>
      <c r="K13" s="14"/>
      <c r="L13" s="12">
        <v>116</v>
      </c>
      <c r="M13" s="11">
        <v>4.8313202832153269E-2</v>
      </c>
      <c r="N13" s="9">
        <v>144</v>
      </c>
      <c r="O13" s="10">
        <v>5.9975010412328195E-2</v>
      </c>
      <c r="P13" s="9"/>
      <c r="Q13" s="36">
        <v>3</v>
      </c>
      <c r="R13" s="36">
        <v>2</v>
      </c>
      <c r="S13" s="36">
        <v>2</v>
      </c>
      <c r="T13" s="36">
        <v>3</v>
      </c>
      <c r="U13" s="36"/>
      <c r="V13" s="36">
        <v>2</v>
      </c>
      <c r="W13" s="36"/>
      <c r="X13" s="36"/>
      <c r="Y13" s="37">
        <f t="shared" si="0"/>
        <v>4.9979175343606835E-3</v>
      </c>
    </row>
    <row r="14" spans="1:25" x14ac:dyDescent="0.25">
      <c r="A14" s="16">
        <v>46252</v>
      </c>
      <c r="B14" s="16" t="s">
        <v>28</v>
      </c>
      <c r="C14" s="17"/>
      <c r="D14" s="8"/>
      <c r="E14" s="8" t="s">
        <v>42</v>
      </c>
      <c r="F14" s="29" t="s">
        <v>43</v>
      </c>
      <c r="G14" s="8" t="s">
        <v>44</v>
      </c>
      <c r="H14" s="15" t="s">
        <v>19</v>
      </c>
      <c r="I14" s="29">
        <v>11957</v>
      </c>
      <c r="J14" s="14">
        <v>9777</v>
      </c>
      <c r="K14" s="13">
        <v>419</v>
      </c>
      <c r="L14" s="12">
        <v>786</v>
      </c>
      <c r="M14" s="11">
        <v>6.5735552396085972E-2</v>
      </c>
      <c r="N14" s="9">
        <v>795</v>
      </c>
      <c r="O14" s="10">
        <v>6.6488249560926652E-2</v>
      </c>
      <c r="P14" s="9"/>
      <c r="Q14" s="34">
        <v>18</v>
      </c>
      <c r="R14" s="34">
        <v>38</v>
      </c>
      <c r="S14" s="34">
        <v>2</v>
      </c>
      <c r="T14" s="34"/>
      <c r="U14" s="34"/>
      <c r="V14" s="34">
        <v>37</v>
      </c>
      <c r="W14" s="34"/>
      <c r="X14" s="34"/>
      <c r="Y14" s="37">
        <f t="shared" si="0"/>
        <v>7.9451367399849468E-3</v>
      </c>
    </row>
    <row r="15" spans="1:25" x14ac:dyDescent="0.25">
      <c r="A15" s="16">
        <v>46254</v>
      </c>
      <c r="B15" s="16" t="s">
        <v>45</v>
      </c>
      <c r="C15" s="17"/>
      <c r="D15" s="8"/>
      <c r="E15" s="8" t="s">
        <v>16</v>
      </c>
      <c r="F15" s="29" t="s">
        <v>46</v>
      </c>
      <c r="G15" s="8" t="s">
        <v>47</v>
      </c>
      <c r="H15" s="15" t="s">
        <v>19</v>
      </c>
      <c r="I15" s="29">
        <v>1969</v>
      </c>
      <c r="J15" s="14">
        <v>1707</v>
      </c>
      <c r="K15" s="13">
        <v>80</v>
      </c>
      <c r="L15" s="12">
        <v>97</v>
      </c>
      <c r="M15" s="11">
        <v>4.9263585576434739E-2</v>
      </c>
      <c r="N15" s="9">
        <v>76</v>
      </c>
      <c r="O15" s="10">
        <v>3.8598273235144746E-2</v>
      </c>
      <c r="P15" s="9"/>
      <c r="Q15" s="34"/>
      <c r="R15" s="34"/>
      <c r="S15" s="34"/>
      <c r="T15" s="34"/>
      <c r="U15" s="34"/>
      <c r="V15" s="34"/>
      <c r="W15" s="34"/>
      <c r="X15" s="34"/>
      <c r="Y15" s="37">
        <f t="shared" si="0"/>
        <v>0</v>
      </c>
    </row>
    <row r="16" spans="1:25" x14ac:dyDescent="0.25">
      <c r="A16" s="16">
        <v>46254</v>
      </c>
      <c r="B16" s="16" t="s">
        <v>45</v>
      </c>
      <c r="C16" s="17"/>
      <c r="D16" s="8"/>
      <c r="E16" s="8" t="s">
        <v>16</v>
      </c>
      <c r="F16" s="29" t="s">
        <v>46</v>
      </c>
      <c r="G16" s="8" t="s">
        <v>48</v>
      </c>
      <c r="H16" s="15" t="s">
        <v>19</v>
      </c>
      <c r="I16" s="29">
        <v>1518</v>
      </c>
      <c r="J16" s="14">
        <v>1329</v>
      </c>
      <c r="K16" s="13">
        <v>39</v>
      </c>
      <c r="L16" s="12">
        <v>98</v>
      </c>
      <c r="M16" s="11">
        <v>6.4558629776021087E-2</v>
      </c>
      <c r="N16" s="9">
        <v>40</v>
      </c>
      <c r="O16" s="10">
        <v>2.6350461133069828E-2</v>
      </c>
      <c r="P16" s="9"/>
      <c r="Q16" s="34"/>
      <c r="R16" s="34"/>
      <c r="S16" s="34"/>
      <c r="T16" s="34"/>
      <c r="U16" s="34"/>
      <c r="V16" s="34"/>
      <c r="W16" s="34"/>
      <c r="X16" s="34"/>
      <c r="Y16" s="37">
        <f t="shared" si="0"/>
        <v>0</v>
      </c>
    </row>
    <row r="17" spans="1:25" x14ac:dyDescent="0.25">
      <c r="A17" s="16">
        <v>46254</v>
      </c>
      <c r="B17" s="16" t="s">
        <v>28</v>
      </c>
      <c r="C17" s="17"/>
      <c r="D17" s="8"/>
      <c r="E17" s="8" t="s">
        <v>23</v>
      </c>
      <c r="F17" s="29" t="s">
        <v>24</v>
      </c>
      <c r="G17" s="8" t="s">
        <v>49</v>
      </c>
      <c r="H17" s="15" t="s">
        <v>19</v>
      </c>
      <c r="I17" s="29">
        <v>2364</v>
      </c>
      <c r="J17" s="14">
        <v>1758</v>
      </c>
      <c r="K17" s="13">
        <v>75</v>
      </c>
      <c r="L17" s="12">
        <v>239</v>
      </c>
      <c r="M17" s="11">
        <v>0.10109983079526226</v>
      </c>
      <c r="N17" s="9">
        <v>212</v>
      </c>
      <c r="O17" s="10">
        <v>8.9678510998307953E-2</v>
      </c>
      <c r="P17" s="9"/>
      <c r="Q17" s="34">
        <v>45</v>
      </c>
      <c r="R17" s="34">
        <v>4</v>
      </c>
      <c r="S17" s="34">
        <v>3</v>
      </c>
      <c r="T17" s="34"/>
      <c r="U17" s="34"/>
      <c r="V17" s="34"/>
      <c r="W17" s="34"/>
      <c r="X17" s="34">
        <v>2</v>
      </c>
      <c r="Y17" s="37">
        <f t="shared" si="0"/>
        <v>2.2842639593908629E-2</v>
      </c>
    </row>
    <row r="18" spans="1:25" x14ac:dyDescent="0.25">
      <c r="A18" s="16">
        <v>46255</v>
      </c>
      <c r="B18" s="16" t="s">
        <v>28</v>
      </c>
      <c r="C18" s="17"/>
      <c r="D18" s="8"/>
      <c r="E18" s="8" t="s">
        <v>23</v>
      </c>
      <c r="F18" s="29" t="s">
        <v>24</v>
      </c>
      <c r="G18" t="s">
        <v>50</v>
      </c>
      <c r="H18" s="15" t="s">
        <v>19</v>
      </c>
      <c r="I18" s="29">
        <v>2598</v>
      </c>
      <c r="J18" s="14">
        <v>1877</v>
      </c>
      <c r="K18" s="13">
        <v>147</v>
      </c>
      <c r="L18" s="12">
        <v>166</v>
      </c>
      <c r="M18" s="11">
        <v>6.3895304080061582E-2</v>
      </c>
      <c r="N18" s="9">
        <v>305</v>
      </c>
      <c r="O18" s="10">
        <v>0.11739799846035412</v>
      </c>
      <c r="P18" s="9" t="s">
        <v>51</v>
      </c>
      <c r="Q18" s="34">
        <v>24</v>
      </c>
      <c r="R18" s="34"/>
      <c r="S18" s="34">
        <v>18</v>
      </c>
      <c r="T18" s="34"/>
      <c r="U18" s="34"/>
      <c r="V18" s="34"/>
      <c r="W18" s="34">
        <v>1</v>
      </c>
      <c r="X18" s="34"/>
      <c r="Y18" s="37">
        <f t="shared" si="0"/>
        <v>1.6551193225558123E-2</v>
      </c>
    </row>
    <row r="19" spans="1:25" x14ac:dyDescent="0.25">
      <c r="A19" s="16">
        <v>46256</v>
      </c>
      <c r="B19" s="16" t="s">
        <v>30</v>
      </c>
      <c r="C19" s="17"/>
      <c r="D19" s="8"/>
      <c r="E19" s="8" t="s">
        <v>23</v>
      </c>
      <c r="F19" s="29" t="s">
        <v>24</v>
      </c>
      <c r="G19" s="8" t="s">
        <v>52</v>
      </c>
      <c r="H19" s="15" t="s">
        <v>19</v>
      </c>
      <c r="I19" s="29">
        <v>841</v>
      </c>
      <c r="J19" s="14">
        <v>375</v>
      </c>
      <c r="K19" s="13">
        <v>90</v>
      </c>
      <c r="L19" s="12">
        <v>98</v>
      </c>
      <c r="M19" s="11">
        <v>0.11652794292508918</v>
      </c>
      <c r="N19" s="9">
        <v>214</v>
      </c>
      <c r="O19" s="10">
        <v>0.25445897740784779</v>
      </c>
      <c r="P19" s="9"/>
      <c r="Q19" s="34">
        <v>27</v>
      </c>
      <c r="R19" s="34">
        <v>4</v>
      </c>
      <c r="S19" s="34"/>
      <c r="T19" s="34"/>
      <c r="U19" s="34"/>
      <c r="V19" s="34"/>
      <c r="W19" s="34"/>
      <c r="X19" s="34"/>
      <c r="Y19" s="37">
        <f t="shared" si="0"/>
        <v>3.6860879904875146E-2</v>
      </c>
    </row>
    <row r="20" spans="1:25" x14ac:dyDescent="0.25">
      <c r="A20" s="20">
        <v>46256</v>
      </c>
      <c r="B20" s="20" t="s">
        <v>26</v>
      </c>
      <c r="C20" s="21"/>
      <c r="D20" s="8"/>
      <c r="E20" s="8" t="s">
        <v>23</v>
      </c>
      <c r="F20" s="29" t="s">
        <v>24</v>
      </c>
      <c r="G20" s="5" t="s">
        <v>33</v>
      </c>
      <c r="H20" s="7" t="s">
        <v>19</v>
      </c>
      <c r="I20" s="29">
        <v>1204</v>
      </c>
      <c r="J20" s="22">
        <v>537</v>
      </c>
      <c r="K20" s="6">
        <v>69</v>
      </c>
      <c r="L20" s="23">
        <v>110</v>
      </c>
      <c r="M20" s="25">
        <v>9.1362126245847178E-2</v>
      </c>
      <c r="N20" s="24">
        <v>159</v>
      </c>
      <c r="O20" s="25">
        <v>0.13205980066445183</v>
      </c>
      <c r="P20" s="24"/>
      <c r="Q20" s="33">
        <v>9</v>
      </c>
      <c r="R20" s="33">
        <v>14</v>
      </c>
      <c r="S20" s="33">
        <v>4</v>
      </c>
      <c r="T20" s="33"/>
      <c r="U20" s="33"/>
      <c r="V20" s="33"/>
      <c r="W20" s="33"/>
      <c r="X20" s="33"/>
      <c r="Y20" s="37">
        <f t="shared" si="0"/>
        <v>2.2425249169435217E-2</v>
      </c>
    </row>
    <row r="21" spans="1:25" x14ac:dyDescent="0.25">
      <c r="A21" s="20">
        <v>46261</v>
      </c>
      <c r="B21" s="20" t="s">
        <v>28</v>
      </c>
      <c r="C21" s="21"/>
      <c r="D21" s="8"/>
      <c r="E21" s="8" t="s">
        <v>23</v>
      </c>
      <c r="F21" s="29" t="s">
        <v>24</v>
      </c>
      <c r="G21" s="5" t="s">
        <v>53</v>
      </c>
      <c r="H21" s="7" t="s">
        <v>19</v>
      </c>
      <c r="I21" s="29">
        <v>2143</v>
      </c>
      <c r="J21" s="22">
        <v>1375</v>
      </c>
      <c r="K21" s="6">
        <v>174</v>
      </c>
      <c r="L21" s="23">
        <v>156</v>
      </c>
      <c r="M21" s="25">
        <v>7.2795146990200649E-2</v>
      </c>
      <c r="N21" s="24">
        <v>357</v>
      </c>
      <c r="O21" s="25">
        <v>0.16658889407372843</v>
      </c>
      <c r="P21" s="24"/>
      <c r="Q21" s="33">
        <v>17</v>
      </c>
      <c r="R21" s="33">
        <v>1</v>
      </c>
      <c r="S21" s="33"/>
      <c r="T21" s="33">
        <v>1</v>
      </c>
      <c r="U21" s="33">
        <v>8</v>
      </c>
      <c r="V21" s="33"/>
      <c r="W21" s="33">
        <v>2</v>
      </c>
      <c r="X21" s="33"/>
      <c r="Y21" s="37">
        <f t="shared" si="0"/>
        <v>1.3532431171255249E-2</v>
      </c>
    </row>
    <row r="22" spans="1:25" x14ac:dyDescent="0.25">
      <c r="A22" s="20">
        <v>46261</v>
      </c>
      <c r="B22" s="20" t="s">
        <v>54</v>
      </c>
      <c r="C22" s="21"/>
      <c r="D22" s="8"/>
      <c r="E22" s="8" t="s">
        <v>23</v>
      </c>
      <c r="F22" s="29" t="s">
        <v>24</v>
      </c>
      <c r="G22" s="5" t="s">
        <v>55</v>
      </c>
      <c r="H22" s="7" t="s">
        <v>19</v>
      </c>
      <c r="I22" s="29">
        <v>1589</v>
      </c>
      <c r="J22" s="22">
        <v>1099</v>
      </c>
      <c r="K22" s="6">
        <v>57</v>
      </c>
      <c r="L22" s="23">
        <v>117</v>
      </c>
      <c r="M22" s="25">
        <v>7.3631214600377595E-2</v>
      </c>
      <c r="N22" s="24">
        <v>164</v>
      </c>
      <c r="O22" s="25">
        <v>0.10320956576463185</v>
      </c>
      <c r="P22" s="24"/>
      <c r="Q22" s="33">
        <v>17</v>
      </c>
      <c r="R22" s="33">
        <v>4</v>
      </c>
      <c r="S22" s="33">
        <v>9</v>
      </c>
      <c r="T22" s="33"/>
      <c r="U22" s="33"/>
      <c r="V22" s="33"/>
      <c r="W22" s="33">
        <v>2</v>
      </c>
      <c r="X22" s="33"/>
      <c r="Y22" s="37">
        <f t="shared" si="0"/>
        <v>2.0138451856513532E-2</v>
      </c>
    </row>
    <row r="23" spans="1:25" x14ac:dyDescent="0.25">
      <c r="A23" s="20">
        <v>46262</v>
      </c>
      <c r="B23" s="20" t="s">
        <v>26</v>
      </c>
      <c r="C23" s="21"/>
      <c r="D23" s="8"/>
      <c r="E23" s="8" t="s">
        <v>23</v>
      </c>
      <c r="F23" s="29" t="s">
        <v>24</v>
      </c>
      <c r="G23" s="5" t="s">
        <v>56</v>
      </c>
      <c r="H23" s="7" t="s">
        <v>19</v>
      </c>
      <c r="I23" s="29">
        <v>98</v>
      </c>
      <c r="J23" s="22">
        <v>41</v>
      </c>
      <c r="K23" s="6">
        <v>26</v>
      </c>
      <c r="L23" s="23">
        <v>3</v>
      </c>
      <c r="M23" s="25">
        <v>3.0612244897959183E-2</v>
      </c>
      <c r="N23" s="24">
        <v>28</v>
      </c>
      <c r="O23" s="25">
        <v>0.2857142857142857</v>
      </c>
      <c r="P23" s="24"/>
      <c r="Q23" s="33"/>
      <c r="R23" s="33"/>
      <c r="S23" s="33"/>
      <c r="T23" s="33"/>
      <c r="U23" s="33"/>
      <c r="V23" s="33"/>
      <c r="W23" s="33"/>
      <c r="X23" s="33"/>
      <c r="Y23" s="37">
        <f t="shared" si="0"/>
        <v>0</v>
      </c>
    </row>
    <row r="24" spans="1:25" ht="15.75" thickBot="1" x14ac:dyDescent="0.3">
      <c r="A24" s="20">
        <v>46263</v>
      </c>
      <c r="B24" s="20" t="s">
        <v>26</v>
      </c>
      <c r="C24" s="21"/>
      <c r="D24" s="8"/>
      <c r="E24" s="8" t="s">
        <v>23</v>
      </c>
      <c r="F24" s="29" t="s">
        <v>24</v>
      </c>
      <c r="G24" s="5" t="s">
        <v>29</v>
      </c>
      <c r="H24" s="7" t="s">
        <v>19</v>
      </c>
      <c r="I24" s="29">
        <v>269</v>
      </c>
      <c r="J24" s="22">
        <v>150</v>
      </c>
      <c r="K24" s="6">
        <v>31</v>
      </c>
      <c r="L24" s="23">
        <v>23</v>
      </c>
      <c r="M24" s="25">
        <v>8.5501858736059477E-2</v>
      </c>
      <c r="N24" s="24">
        <v>33</v>
      </c>
      <c r="O24" s="25">
        <v>0.12267657992565056</v>
      </c>
      <c r="P24" s="24"/>
      <c r="Q24" s="33">
        <v>4</v>
      </c>
      <c r="R24" s="33"/>
      <c r="S24" s="33"/>
      <c r="T24" s="33"/>
      <c r="U24" s="33"/>
      <c r="V24" s="33"/>
      <c r="W24" s="33"/>
      <c r="X24" s="33">
        <v>4</v>
      </c>
      <c r="Y24" s="37">
        <f t="shared" si="0"/>
        <v>2.9739776951672861E-2</v>
      </c>
    </row>
    <row r="25" spans="1:25" ht="16.5" thickBot="1" x14ac:dyDescent="0.3">
      <c r="A25" s="41" t="s">
        <v>57</v>
      </c>
      <c r="B25" s="42"/>
      <c r="C25" s="42"/>
      <c r="D25" s="42"/>
      <c r="E25" s="42"/>
      <c r="F25" s="42"/>
      <c r="G25" s="42"/>
      <c r="H25" s="43"/>
      <c r="I25" s="29">
        <v>52527</v>
      </c>
      <c r="J25" s="19">
        <v>39421</v>
      </c>
      <c r="K25" s="19">
        <v>2291</v>
      </c>
      <c r="L25" s="2">
        <v>4485</v>
      </c>
      <c r="M25" s="26">
        <v>8.5384659318064993E-2</v>
      </c>
      <c r="N25" s="3">
        <v>4191</v>
      </c>
      <c r="O25" s="4">
        <v>7.9787537837683484E-2</v>
      </c>
      <c r="P25" s="3"/>
      <c r="Q25" s="1">
        <f>SUM(Q3:Q24)</f>
        <v>376</v>
      </c>
      <c r="R25" s="1">
        <f>SUM(R3:R24)</f>
        <v>98</v>
      </c>
      <c r="S25" s="1">
        <f>SUM(S3:S24)</f>
        <v>179</v>
      </c>
      <c r="T25" s="1">
        <f>SUM(T4:T24)</f>
        <v>7</v>
      </c>
      <c r="U25" s="1">
        <f>SUM(U4:U24)</f>
        <v>20</v>
      </c>
      <c r="V25" s="1">
        <f>SUM(V4:V24)</f>
        <v>59</v>
      </c>
      <c r="W25" s="1">
        <f>SUM(W4:W24)</f>
        <v>19</v>
      </c>
      <c r="X25" s="1">
        <f>SUM(X4:X24)</f>
        <v>14</v>
      </c>
      <c r="Y25" s="37">
        <f t="shared" si="0"/>
        <v>1.4697203343042626E-2</v>
      </c>
    </row>
    <row r="26" spans="1:25" ht="16.5" thickBot="1" x14ac:dyDescent="0.3">
      <c r="I26" s="32"/>
      <c r="L26" s="44">
        <v>0.16517219715574849</v>
      </c>
      <c r="M26" s="45"/>
      <c r="N26" s="45"/>
      <c r="O26" s="46"/>
    </row>
  </sheetData>
  <mergeCells count="15">
    <mergeCell ref="A25:H25"/>
    <mergeCell ref="L26:O26"/>
    <mergeCell ref="I1:I2"/>
    <mergeCell ref="J1:J2"/>
    <mergeCell ref="K1:K2"/>
    <mergeCell ref="L1:L2"/>
    <mergeCell ref="Q1:X1"/>
    <mergeCell ref="Y1:Y2"/>
    <mergeCell ref="P1:P2"/>
    <mergeCell ref="H1:H2"/>
    <mergeCell ref="A1:A2"/>
    <mergeCell ref="C1:C2"/>
    <mergeCell ref="D1:D2"/>
    <mergeCell ref="E1:E2"/>
    <mergeCell ref="G1:G2"/>
  </mergeCells>
  <conditionalFormatting sqref="Y3:Y26">
    <cfRule type="cellIs" dxfId="0" priority="1" operator="greaterThan">
      <formula>0.0299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Avila</dc:creator>
  <cp:lastModifiedBy>Juan Camilo Villalobos</cp:lastModifiedBy>
  <dcterms:created xsi:type="dcterms:W3CDTF">2026-09-03T15:54:36Z</dcterms:created>
  <dcterms:modified xsi:type="dcterms:W3CDTF">2026-09-09T02:45:58Z</dcterms:modified>
</cp:coreProperties>
</file>
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60" windowWidth="15600" windowHeight="813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1" i="2" l="1"/>
  <c r="N20" i="2"/>
  <c r="N23" i="2"/>
  <c r="N18" i="2"/>
  <c r="N17" i="2"/>
  <c r="N16" i="2"/>
  <c r="N15" i="2"/>
  <c r="N14" i="2"/>
  <c r="N13" i="2"/>
  <c r="N12" i="2"/>
  <c r="E12" i="2"/>
  <c r="E11" i="2"/>
  <c r="E10" i="2"/>
</calcChain>
</file>

<file path=xl/sharedStrings.xml><?xml version="1.0" encoding="utf-8"?>
<sst xmlns="http://schemas.openxmlformats.org/spreadsheetml/2006/main" count="462" uniqueCount="240">
  <si>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</si>
  <si>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</si>
  <si>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</si>
  <si>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</si>
  <si>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</si>
  <si>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</si>
  <si>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</si>
  <si>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</si>
  <si>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</si>
  <si>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</si>
  <si>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</si>
  <si>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</si>
  <si>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</si>
  <si>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</si>
  <si>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</si>
  <si>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</si>
  <si>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</si>
  <si>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</si>
  <si>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</si>
  <si>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</si>
  <si>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</si>
  <si>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</si>
  <si>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</si>
  <si>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</si>
  <si>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</si>
  <si>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</si>
  <si>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</si>
  <si>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</si>
  <si>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</si>
  <si>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</si>
  <si>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</si>
  <si>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</si>
  <si>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</si>
  <si>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</si>
  <si>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</si>
  <si>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</si>
  <si>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</si>
  <si>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</si>
  <si>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</si>
  <si>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</si>
  <si>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</si>
  <si>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</si>
  <si>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</si>
  <si>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</si>
  <si>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</si>
  <si>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</si>
  <si>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</si>
  <si>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</si>
  <si>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</si>
  <si>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</si>
  <si>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</si>
  <si>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</si>
  <si>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</si>
  <si>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</si>
  <si>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</si>
  <si>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</si>
  <si>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</si>
  <si>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</si>
  <si>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</si>
  <si>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</si>
  <si>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</si>
  <si>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</si>
  <si>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</si>
  <si>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</si>
  <si>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</si>
  <si>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</si>
  <si>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</si>
  <si>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</si>
  <si>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</si>
  <si>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</si>
  <si>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</si>
  <si>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</si>
  <si>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</si>
  <si>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</si>
  <si>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</si>
  <si>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</si>
  <si>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</si>
  <si>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</si>
  <si>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</si>
  <si>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</si>
  <si>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</si>
  <si>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</si>
  <si>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</si>
  <si>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</si>
  <si>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</si>
  <si>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</si>
  <si>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</si>
  <si>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</si>
  <si>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</si>
  <si>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</si>
  <si>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</si>
  <si>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</si>
  <si>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</si>
  <si>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</si>
  <si>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</si>
  <si>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</si>
  <si>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</si>
  <si>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</si>
  <si>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</si>
  <si>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</si>
  <si>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</si>
  <si>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</si>
  <si>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</si>
  <si>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</si>
  <si>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</si>
  <si>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</si>
  <si>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</si>
  <si>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</si>
  <si>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</si>
  <si>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</si>
  <si>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</si>
  <si>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</si>
  <si>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</si>
  <si>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</si>
  <si>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</si>
  <si>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</si>
  <si>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</si>
  <si>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</si>
  <si>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</si>
  <si>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</si>
  <si>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</si>
  <si>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</si>
  <si>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</si>
  <si>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</si>
  <si>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</si>
  <si>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</si>
  <si>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</si>
  <si>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</si>
  <si>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</si>
  <si>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</si>
  <si>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</si>
  <si>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</si>
  <si>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</si>
  <si>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</si>
  <si>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</si>
  <si>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</si>
  <si>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</si>
  <si>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</si>
  <si>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</si>
  <si>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</si>
  <si>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</si>
  <si>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</si>
  <si>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</si>
  <si>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</si>
  <si>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</si>
  <si>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</si>
  <si>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</si>
  <si>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</si>
  <si>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</si>
  <si>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</si>
  <si>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</si>
  <si>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</si>
  <si>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</si>
  <si>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</si>
  <si>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</si>
  <si>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</si>
  <si>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</si>
  <si>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</si>
  <si>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</si>
  <si>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</si>
  <si>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</si>
  <si>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</si>
  <si>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</si>
  <si>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</si>
  <si>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</si>
  <si>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</si>
  <si>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</si>
  <si>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</si>
  <si>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</si>
  <si>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</si>
  <si>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</si>
  <si>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</si>
  <si>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</si>
  <si>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</si>
  <si>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</si>
  <si>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</si>
  <si>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</si>
  <si>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</si>
  <si>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</si>
  <si>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</si>
  <si>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</si>
  <si>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</si>
  <si>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</si>
  <si>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</si>
  <si>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</si>
  <si>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</si>
  <si>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</si>
  <si>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</si>
  <si>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</si>
  <si>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</si>
  <si>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</si>
  <si>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</si>
  <si>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</si>
  <si>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</si>
  <si>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</si>
  <si>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</si>
  <si>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</si>
  <si>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</si>
  <si>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</si>
  <si>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</si>
  <si>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</si>
  <si>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</si>
  <si>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</si>
  <si>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</si>
  <si>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</si>
  <si>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</si>
  <si>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</si>
  <si>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</si>
  <si>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</si>
  <si>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</si>
  <si>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</si>
  <si>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</si>
  <si>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</si>
  <si>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</si>
  <si>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</si>
  <si>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</si>
  <si>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</si>
  <si>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</si>
  <si>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</si>
  <si>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</si>
  <si>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</si>
  <si>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</si>
  <si>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</si>
  <si>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</si>
  <si>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</si>
  <si>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</si>
  <si>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</si>
  <si>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</si>
  <si>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</si>
  <si>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</si>
  <si>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</si>
  <si>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</si>
  <si>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</si>
  <si>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</si>
  <si>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</si>
  <si>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</si>
  <si>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</si>
  <si>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</si>
  <si>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</si>
  <si>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>PIGMENTO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</si>
</sst>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1" fontId="23" fillId="6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2" t="s">
        <v>0</v>
      </c>
      <c r="D1" s="122"/>
      <c r="E1" s="122"/>
      <c r="F1" s="122"/>
      <c r="G1" s="122"/>
      <c r="H1" s="122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2"/>
      <c r="D2" s="122"/>
      <c r="E2" s="122"/>
      <c r="F2" s="122"/>
      <c r="G2" s="122"/>
      <c r="H2" s="122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3" t="s">
        <v>4</v>
      </c>
      <c r="B3" s="123"/>
      <c r="C3" s="124"/>
      <c r="D3" s="124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3" t="s">
        <v>8</v>
      </c>
      <c r="B4" s="123"/>
      <c r="C4" s="125"/>
      <c r="D4" s="125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6" t="s">
        <v>11</v>
      </c>
      <c r="B5" s="126"/>
      <c r="C5" s="126"/>
      <c r="D5" s="126"/>
      <c r="E5" s="126"/>
      <c r="F5" s="126"/>
      <c r="G5" s="126"/>
      <c r="H5" s="126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7"/>
      <c r="B6" s="127"/>
      <c r="C6" s="127"/>
      <c r="D6" s="127"/>
      <c r="E6" s="127"/>
      <c r="F6" s="127"/>
      <c r="G6" s="127"/>
      <c r="H6" s="127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7"/>
      <c r="B7" s="127"/>
      <c r="C7" s="127"/>
      <c r="D7" s="127"/>
      <c r="E7" s="127"/>
      <c r="F7" s="127"/>
      <c r="G7" s="127"/>
      <c r="H7" s="127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7"/>
      <c r="B8" s="127"/>
      <c r="C8" s="127"/>
      <c r="D8" s="127"/>
      <c r="E8" s="127"/>
      <c r="F8" s="127"/>
      <c r="G8" s="127"/>
      <c r="H8" s="127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8" t="s">
        <v>18</v>
      </c>
      <c r="C9" s="128"/>
      <c r="D9" s="128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9"/>
      <c r="C10" s="119"/>
      <c r="D10" s="119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9"/>
      <c r="C11" s="119"/>
      <c r="D11" s="119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9"/>
      <c r="C12" s="119"/>
      <c r="D12" s="119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1"/>
      <c r="C13" s="121"/>
      <c r="D13" s="121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9"/>
      <c r="C14" s="119"/>
      <c r="D14" s="119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9"/>
      <c r="C15" s="119"/>
      <c r="D15" s="119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9"/>
      <c r="C16" s="119"/>
      <c r="D16" s="119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9"/>
      <c r="C17" s="119"/>
      <c r="D17" s="119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9"/>
      <c r="C18" s="119"/>
      <c r="D18" s="119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0"/>
      <c r="C20" s="120"/>
      <c r="D20" s="120"/>
      <c r="E20" s="53" t="s">
        <v>36</v>
      </c>
      <c r="F20" s="117"/>
      <c r="G20" s="117"/>
      <c r="H20" s="117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8" t="s">
        <v>40</v>
      </c>
      <c r="C22" s="118"/>
      <c r="D22" s="118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selection activeCell="K26" sqref="K26:M26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36" t="s">
        <v>0</v>
      </c>
      <c r="D1" s="136"/>
      <c r="E1" s="136"/>
      <c r="F1" s="136"/>
      <c r="G1" s="136"/>
      <c r="H1" s="136"/>
      <c r="J1" s="87"/>
      <c r="K1" s="91"/>
      <c r="L1" s="136" t="s">
        <v>0</v>
      </c>
      <c r="M1" s="136"/>
      <c r="N1" s="136"/>
      <c r="O1" s="136"/>
      <c r="P1" s="136"/>
      <c r="Q1" s="136"/>
    </row>
    <row r="2" spans="1:17" outlineLevel="1">
      <c r="A2" s="93"/>
      <c r="B2" s="91"/>
      <c r="C2" s="136"/>
      <c r="D2" s="136"/>
      <c r="E2" s="136"/>
      <c r="F2" s="136"/>
      <c r="G2" s="136"/>
      <c r="H2" s="136"/>
      <c r="J2" s="93"/>
      <c r="K2" s="91"/>
      <c r="L2" s="136"/>
      <c r="M2" s="136"/>
      <c r="N2" s="136"/>
      <c r="O2" s="136"/>
      <c r="P2" s="136"/>
      <c r="Q2" s="136"/>
    </row>
    <row r="3" spans="1:17" ht="18" outlineLevel="1">
      <c r="A3" s="137" t="s">
        <v>4</v>
      </c>
      <c r="B3" s="137"/>
      <c r="C3" s="138">
        <v>46100</v>
      </c>
      <c r="D3" s="138"/>
      <c r="E3" s="105" t="s">
        <v>5</v>
      </c>
      <c r="F3" s="83"/>
      <c r="G3" s="94"/>
      <c r="H3" s="94"/>
      <c r="J3" s="137" t="s">
        <v>4</v>
      </c>
      <c r="K3" s="137"/>
      <c r="L3" s="138">
        <v>46101</v>
      </c>
      <c r="M3" s="138"/>
      <c r="N3" s="105" t="s">
        <v>5</v>
      </c>
      <c r="O3" s="83"/>
      <c r="P3" s="94"/>
      <c r="Q3" s="94"/>
    </row>
    <row r="4" spans="1:17" outlineLevel="1">
      <c r="A4" s="137" t="s">
        <v>8</v>
      </c>
      <c r="B4" s="137"/>
      <c r="C4" s="139" t="s">
        <v>9</v>
      </c>
      <c r="D4" s="139"/>
      <c r="E4" s="84"/>
      <c r="F4" s="89"/>
      <c r="G4" s="89"/>
      <c r="H4" s="90"/>
      <c r="J4" s="137" t="s">
        <v>8</v>
      </c>
      <c r="K4" s="137"/>
      <c r="L4" s="139" t="s">
        <v>9</v>
      </c>
      <c r="M4" s="139"/>
      <c r="N4" s="84"/>
      <c r="O4" s="89"/>
      <c r="P4" s="89"/>
      <c r="Q4" s="90"/>
    </row>
    <row r="5" spans="1:17" outlineLevel="1">
      <c r="A5" s="135" t="s">
        <v>11</v>
      </c>
      <c r="B5" s="135"/>
      <c r="C5" s="135"/>
      <c r="D5" s="135"/>
      <c r="E5" s="135"/>
      <c r="F5" s="135"/>
      <c r="G5" s="135"/>
      <c r="H5" s="135"/>
      <c r="J5" s="135" t="s">
        <v>11</v>
      </c>
      <c r="K5" s="135"/>
      <c r="L5" s="135"/>
      <c r="M5" s="135"/>
      <c r="N5" s="135"/>
      <c r="O5" s="135"/>
      <c r="P5" s="135"/>
      <c r="Q5" s="135"/>
    </row>
    <row r="6" spans="1:17" ht="15" customHeight="1" outlineLevel="1">
      <c r="A6" s="129" t="s">
        <v>239</v>
      </c>
      <c r="B6" s="130"/>
      <c r="C6" s="130"/>
      <c r="D6" s="130"/>
      <c r="E6" s="130"/>
      <c r="F6" s="130"/>
      <c r="G6" s="130"/>
      <c r="H6" s="130"/>
      <c r="J6" s="129" t="s">
        <v>238</v>
      </c>
      <c r="K6" s="130"/>
      <c r="L6" s="130"/>
      <c r="M6" s="130"/>
      <c r="N6" s="130"/>
      <c r="O6" s="130"/>
      <c r="P6" s="130"/>
      <c r="Q6" s="130"/>
    </row>
    <row r="7" spans="1:17" outlineLevel="1">
      <c r="A7" s="130"/>
      <c r="B7" s="130"/>
      <c r="C7" s="130"/>
      <c r="D7" s="130"/>
      <c r="E7" s="130"/>
      <c r="F7" s="130"/>
      <c r="G7" s="130"/>
      <c r="H7" s="130"/>
      <c r="J7" s="130"/>
      <c r="K7" s="130"/>
      <c r="L7" s="130"/>
      <c r="M7" s="130"/>
      <c r="N7" s="130"/>
      <c r="O7" s="130"/>
      <c r="P7" s="130"/>
      <c r="Q7" s="130"/>
    </row>
    <row r="8" spans="1:17" outlineLevel="1">
      <c r="A8" s="130"/>
      <c r="B8" s="130"/>
      <c r="C8" s="130"/>
      <c r="D8" s="130"/>
      <c r="E8" s="130"/>
      <c r="F8" s="130"/>
      <c r="G8" s="130"/>
      <c r="H8" s="130"/>
      <c r="J8" s="130"/>
      <c r="K8" s="130"/>
      <c r="L8" s="130"/>
      <c r="M8" s="130"/>
      <c r="N8" s="130"/>
      <c r="O8" s="130"/>
      <c r="P8" s="130"/>
      <c r="Q8" s="130"/>
    </row>
    <row r="9" spans="1:17" ht="21" outlineLevel="1">
      <c r="A9" s="95" t="s">
        <v>17</v>
      </c>
      <c r="B9" s="131" t="s">
        <v>18</v>
      </c>
      <c r="C9" s="131"/>
      <c r="D9" s="131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31" t="s">
        <v>18</v>
      </c>
      <c r="L9" s="131"/>
      <c r="M9" s="131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2" t="s">
        <v>231</v>
      </c>
      <c r="C10" s="133"/>
      <c r="D10" s="134"/>
      <c r="E10" s="110">
        <f>(35+200+5)</f>
        <v>240</v>
      </c>
      <c r="F10" s="113"/>
      <c r="G10" s="113"/>
      <c r="H10" s="95"/>
      <c r="J10" s="95"/>
      <c r="K10" s="114"/>
      <c r="L10" s="115"/>
      <c r="M10" s="116"/>
      <c r="N10" s="113"/>
      <c r="O10" s="113"/>
      <c r="P10" s="113"/>
      <c r="Q10" s="95"/>
    </row>
    <row r="11" spans="1:17" ht="15" customHeight="1" outlineLevel="1">
      <c r="A11" s="96"/>
      <c r="B11" s="132" t="s">
        <v>215</v>
      </c>
      <c r="C11" s="133" t="s">
        <v>227</v>
      </c>
      <c r="D11" s="134" t="s">
        <v>227</v>
      </c>
      <c r="E11" s="110">
        <f>(28+80)</f>
        <v>108</v>
      </c>
      <c r="F11" s="97"/>
      <c r="G11" s="85"/>
      <c r="H11" s="92"/>
      <c r="J11" s="96"/>
      <c r="K11" s="132" t="s">
        <v>232</v>
      </c>
      <c r="L11" s="133"/>
      <c r="M11" s="134"/>
      <c r="N11" s="110">
        <f>(2000+50)</f>
        <v>2050</v>
      </c>
      <c r="O11" s="97"/>
      <c r="P11" s="85"/>
      <c r="Q11" s="92"/>
    </row>
    <row r="12" spans="1:17" ht="15" customHeight="1" outlineLevel="1">
      <c r="A12" s="96"/>
      <c r="B12" s="132" t="s">
        <v>219</v>
      </c>
      <c r="C12" s="133" t="s">
        <v>217</v>
      </c>
      <c r="D12" s="134" t="s">
        <v>217</v>
      </c>
      <c r="E12" s="110">
        <f>(10+2)</f>
        <v>12</v>
      </c>
      <c r="F12" s="99"/>
      <c r="G12" s="85"/>
      <c r="H12" s="92"/>
      <c r="J12" s="96"/>
      <c r="K12" s="132" t="s">
        <v>227</v>
      </c>
      <c r="L12" s="133"/>
      <c r="M12" s="134"/>
      <c r="N12" s="110">
        <f>(27+108+2+50)</f>
        <v>187</v>
      </c>
      <c r="O12" s="99"/>
      <c r="P12" s="85"/>
      <c r="Q12" s="92"/>
    </row>
    <row r="13" spans="1:17" ht="15" customHeight="1" outlineLevel="1">
      <c r="A13" s="96"/>
      <c r="B13" s="132"/>
      <c r="C13" s="133"/>
      <c r="D13" s="134"/>
      <c r="E13" s="110"/>
      <c r="F13" s="99"/>
      <c r="G13" s="85"/>
      <c r="H13" s="92"/>
      <c r="J13" s="96"/>
      <c r="K13" s="132" t="s">
        <v>224</v>
      </c>
      <c r="L13" s="133" t="s">
        <v>225</v>
      </c>
      <c r="M13" s="134" t="s">
        <v>225</v>
      </c>
      <c r="N13" s="110">
        <f>(3+24+50)</f>
        <v>77</v>
      </c>
      <c r="O13" s="99"/>
      <c r="P13" s="85"/>
      <c r="Q13" s="92"/>
    </row>
    <row r="14" spans="1:17" ht="15" customHeight="1" outlineLevel="1">
      <c r="A14" s="96"/>
      <c r="B14" s="132"/>
      <c r="C14" s="133"/>
      <c r="D14" s="134"/>
      <c r="E14" s="110"/>
      <c r="F14" s="99"/>
      <c r="G14" s="85"/>
      <c r="H14" s="92"/>
      <c r="J14" s="96"/>
      <c r="K14" s="132" t="s">
        <v>223</v>
      </c>
      <c r="L14" s="133" t="s">
        <v>225</v>
      </c>
      <c r="M14" s="134" t="s">
        <v>225</v>
      </c>
      <c r="N14" s="110">
        <f>(1+7+50)</f>
        <v>58</v>
      </c>
      <c r="O14" s="99"/>
      <c r="P14" s="85"/>
      <c r="Q14" s="92"/>
    </row>
    <row r="15" spans="1:17" ht="15" customHeight="1" outlineLevel="1">
      <c r="A15" s="96"/>
      <c r="B15" s="132"/>
      <c r="C15" s="133"/>
      <c r="D15" s="134"/>
      <c r="E15" s="110"/>
      <c r="F15" s="99"/>
      <c r="G15" s="85"/>
      <c r="H15" s="92"/>
      <c r="J15" s="96"/>
      <c r="K15" s="132" t="s">
        <v>205</v>
      </c>
      <c r="L15" s="133" t="s">
        <v>217</v>
      </c>
      <c r="M15" s="134" t="s">
        <v>217</v>
      </c>
      <c r="N15" s="110">
        <f>(195+22+476+50)</f>
        <v>743</v>
      </c>
      <c r="O15" s="99"/>
      <c r="P15" s="85"/>
      <c r="Q15" s="92"/>
    </row>
    <row r="16" spans="1:17" ht="15" customHeight="1" outlineLevel="1">
      <c r="A16" s="96"/>
      <c r="B16" s="132"/>
      <c r="C16" s="133"/>
      <c r="D16" s="134"/>
      <c r="E16" s="110"/>
      <c r="F16" s="99"/>
      <c r="G16" s="85"/>
      <c r="H16" s="112"/>
      <c r="J16" s="96"/>
      <c r="K16" s="132" t="s">
        <v>225</v>
      </c>
      <c r="L16" s="133"/>
      <c r="M16" s="134"/>
      <c r="N16" s="110">
        <f>(20+50)</f>
        <v>70</v>
      </c>
      <c r="O16" s="99"/>
      <c r="P16" s="85"/>
      <c r="Q16" s="112"/>
    </row>
    <row r="17" spans="1:17" ht="15" customHeight="1" outlineLevel="1">
      <c r="A17" s="96"/>
      <c r="B17" s="132"/>
      <c r="C17" s="133"/>
      <c r="D17" s="134"/>
      <c r="E17" s="110"/>
      <c r="F17" s="99"/>
      <c r="G17" s="85"/>
      <c r="H17" s="92"/>
      <c r="J17" s="96"/>
      <c r="K17" s="132" t="s">
        <v>226</v>
      </c>
      <c r="L17" s="133"/>
      <c r="M17" s="134"/>
      <c r="N17" s="110">
        <f>(50)</f>
        <v>50</v>
      </c>
      <c r="O17" s="99"/>
      <c r="P17" s="85"/>
      <c r="Q17" s="92"/>
    </row>
    <row r="18" spans="1:17" ht="15" customHeight="1" outlineLevel="1">
      <c r="A18" s="96"/>
      <c r="B18" s="132"/>
      <c r="C18" s="133"/>
      <c r="D18" s="134"/>
      <c r="E18" s="111"/>
      <c r="F18" s="99"/>
      <c r="G18" s="85"/>
      <c r="H18" s="92"/>
      <c r="J18" s="96"/>
      <c r="K18" s="132" t="s">
        <v>217</v>
      </c>
      <c r="L18" s="133" t="s">
        <v>217</v>
      </c>
      <c r="M18" s="134" t="s">
        <v>217</v>
      </c>
      <c r="N18" s="110">
        <f>(50)</f>
        <v>50</v>
      </c>
      <c r="O18" s="99"/>
      <c r="P18" s="85"/>
      <c r="Q18" s="92"/>
    </row>
    <row r="19" spans="1:17" ht="15" customHeight="1" outlineLevel="1">
      <c r="A19" s="100"/>
      <c r="B19" s="132"/>
      <c r="C19" s="133"/>
      <c r="D19" s="134"/>
      <c r="E19" s="111"/>
      <c r="F19" s="97"/>
      <c r="G19" s="85"/>
      <c r="H19" s="92"/>
      <c r="J19" s="100"/>
      <c r="K19" s="132" t="s">
        <v>222</v>
      </c>
      <c r="L19" s="133"/>
      <c r="M19" s="134"/>
      <c r="N19" s="150">
        <v>50</v>
      </c>
      <c r="O19" s="97"/>
      <c r="P19" s="85"/>
      <c r="Q19" s="92"/>
    </row>
    <row r="20" spans="1:17" ht="15" customHeight="1" outlineLevel="1">
      <c r="A20" s="96"/>
      <c r="B20" s="132"/>
      <c r="C20" s="133"/>
      <c r="D20" s="134"/>
      <c r="E20" s="111"/>
      <c r="F20" s="97"/>
      <c r="G20" s="85"/>
      <c r="H20" s="92"/>
      <c r="J20" s="96"/>
      <c r="K20" s="132" t="s">
        <v>234</v>
      </c>
      <c r="L20" s="133" t="s">
        <v>234</v>
      </c>
      <c r="M20" s="134" t="s">
        <v>234</v>
      </c>
      <c r="N20" s="111">
        <f>(25)</f>
        <v>25</v>
      </c>
      <c r="O20" s="97"/>
      <c r="P20" s="85"/>
      <c r="Q20" s="92"/>
    </row>
    <row r="21" spans="1:17" ht="15" customHeight="1" outlineLevel="1">
      <c r="A21" s="96"/>
      <c r="B21" s="132"/>
      <c r="C21" s="133"/>
      <c r="D21" s="134"/>
      <c r="E21" s="111"/>
      <c r="F21" s="98"/>
      <c r="G21" s="85"/>
      <c r="H21" s="92"/>
      <c r="J21" s="96"/>
      <c r="K21" s="132" t="s">
        <v>202</v>
      </c>
      <c r="L21" s="133" t="s">
        <v>202</v>
      </c>
      <c r="M21" s="134" t="s">
        <v>202</v>
      </c>
      <c r="N21" s="111">
        <v>2</v>
      </c>
      <c r="O21" s="98"/>
      <c r="P21" s="85"/>
      <c r="Q21" s="92"/>
    </row>
    <row r="22" spans="1:17" ht="15" customHeight="1" outlineLevel="1">
      <c r="A22" s="96"/>
      <c r="B22" s="132"/>
      <c r="C22" s="133"/>
      <c r="D22" s="134"/>
      <c r="E22" s="110"/>
      <c r="F22" s="98"/>
      <c r="G22" s="85"/>
      <c r="H22" s="92"/>
      <c r="J22" s="96"/>
      <c r="K22" s="132" t="s">
        <v>209</v>
      </c>
      <c r="L22" s="133" t="s">
        <v>209</v>
      </c>
      <c r="M22" s="134" t="s">
        <v>209</v>
      </c>
      <c r="N22" s="111">
        <v>7</v>
      </c>
      <c r="O22" s="98"/>
      <c r="P22" s="85"/>
      <c r="Q22" s="92"/>
    </row>
    <row r="23" spans="1:17" outlineLevel="1">
      <c r="A23" s="96"/>
      <c r="B23" s="148"/>
      <c r="C23" s="148"/>
      <c r="D23" s="148"/>
      <c r="E23" s="107"/>
      <c r="F23" s="98"/>
      <c r="G23" s="85"/>
      <c r="H23" s="92"/>
      <c r="J23" s="96"/>
      <c r="K23" s="132" t="s">
        <v>212</v>
      </c>
      <c r="L23" s="133" t="s">
        <v>212</v>
      </c>
      <c r="M23" s="134" t="s">
        <v>212</v>
      </c>
      <c r="N23" s="111">
        <f>(10)</f>
        <v>10</v>
      </c>
      <c r="O23" s="98"/>
      <c r="P23" s="85"/>
      <c r="Q23" s="92"/>
    </row>
    <row r="24" spans="1:17" ht="15" customHeight="1" outlineLevel="1">
      <c r="A24" s="96"/>
      <c r="B24" s="148"/>
      <c r="C24" s="148"/>
      <c r="D24" s="148"/>
      <c r="E24" s="108"/>
      <c r="F24" s="97"/>
      <c r="G24" s="85"/>
      <c r="H24" s="92"/>
      <c r="J24" s="96"/>
      <c r="K24" s="132"/>
      <c r="L24" s="133"/>
      <c r="M24" s="134"/>
      <c r="N24" s="111"/>
      <c r="O24" s="97"/>
      <c r="P24" s="85"/>
      <c r="Q24" s="92"/>
    </row>
    <row r="25" spans="1:17" ht="15" customHeight="1" outlineLevel="1">
      <c r="A25" s="96"/>
      <c r="B25" s="148"/>
      <c r="C25" s="148"/>
      <c r="D25" s="148"/>
      <c r="E25" s="108"/>
      <c r="F25" s="97"/>
      <c r="G25" s="85"/>
      <c r="H25" s="92"/>
      <c r="J25" s="96"/>
      <c r="K25" s="132"/>
      <c r="L25" s="133"/>
      <c r="M25" s="134"/>
      <c r="N25" s="111"/>
      <c r="O25" s="97"/>
      <c r="P25" s="85"/>
      <c r="Q25" s="92"/>
    </row>
    <row r="26" spans="1:17" ht="15" customHeight="1" outlineLevel="1">
      <c r="A26" s="96"/>
      <c r="B26" s="148"/>
      <c r="C26" s="148"/>
      <c r="D26" s="148"/>
      <c r="E26" s="108"/>
      <c r="F26" s="97"/>
      <c r="G26" s="85"/>
      <c r="H26" s="92"/>
      <c r="J26" s="96"/>
      <c r="K26" s="132"/>
      <c r="L26" s="133"/>
      <c r="M26" s="134"/>
      <c r="N26" s="111"/>
      <c r="O26" s="97"/>
      <c r="P26" s="85"/>
      <c r="Q26" s="92"/>
    </row>
    <row r="27" spans="1:17" ht="15" customHeight="1" outlineLevel="1">
      <c r="A27" s="87"/>
      <c r="B27" s="148"/>
      <c r="C27" s="148"/>
      <c r="D27" s="148"/>
      <c r="E27" s="109"/>
      <c r="F27" s="89"/>
      <c r="G27" s="89"/>
      <c r="H27" s="90"/>
      <c r="J27" s="87"/>
      <c r="K27" s="132"/>
      <c r="L27" s="133"/>
      <c r="M27" s="134"/>
      <c r="N27" s="111"/>
      <c r="O27" s="89"/>
      <c r="P27" s="89"/>
      <c r="Q27" s="90"/>
    </row>
    <row r="28" spans="1:17" outlineLevel="1">
      <c r="A28" s="101" t="s">
        <v>35</v>
      </c>
      <c r="B28" s="147"/>
      <c r="C28" s="147"/>
      <c r="D28" s="147"/>
      <c r="E28" s="86" t="s">
        <v>36</v>
      </c>
      <c r="F28" s="146"/>
      <c r="G28" s="146"/>
      <c r="H28" s="146"/>
      <c r="J28" s="101" t="s">
        <v>35</v>
      </c>
      <c r="K28" s="132"/>
      <c r="L28" s="133"/>
      <c r="M28" s="134"/>
      <c r="N28" s="110"/>
      <c r="O28" s="146"/>
      <c r="P28" s="146"/>
      <c r="Q28" s="146"/>
    </row>
    <row r="29" spans="1:17" outlineLevel="1">
      <c r="A29" s="87"/>
      <c r="B29" s="143"/>
      <c r="C29" s="144"/>
      <c r="D29" s="145"/>
      <c r="E29" s="86"/>
      <c r="F29" s="89"/>
      <c r="G29" s="89"/>
      <c r="H29" s="90"/>
      <c r="J29" s="87"/>
      <c r="K29" s="132"/>
      <c r="L29" s="133"/>
      <c r="M29" s="134"/>
      <c r="N29" s="111"/>
      <c r="O29" s="89"/>
      <c r="P29" s="89"/>
      <c r="Q29" s="90"/>
    </row>
    <row r="30" spans="1:17" ht="18" outlineLevel="1">
      <c r="A30" s="101" t="s">
        <v>39</v>
      </c>
      <c r="B30" s="149"/>
      <c r="C30" s="149"/>
      <c r="D30" s="149"/>
      <c r="E30" s="89"/>
      <c r="F30" s="89"/>
      <c r="G30" s="89"/>
      <c r="H30" s="90"/>
      <c r="J30" s="101" t="s">
        <v>39</v>
      </c>
      <c r="K30" s="132"/>
      <c r="L30" s="133"/>
      <c r="M30" s="134"/>
      <c r="N30" s="111"/>
      <c r="O30" s="89"/>
      <c r="P30" s="89"/>
      <c r="Q30" s="90"/>
    </row>
    <row r="31" spans="1:17" ht="16.5" customHeight="1" outlineLevel="1">
      <c r="A31" s="140" t="s">
        <v>22</v>
      </c>
      <c r="B31" s="141"/>
      <c r="C31" s="141"/>
      <c r="D31" s="141"/>
      <c r="E31" s="141"/>
      <c r="F31" s="141"/>
      <c r="G31" s="141"/>
      <c r="H31" s="142"/>
      <c r="J31" s="140" t="s">
        <v>22</v>
      </c>
      <c r="K31" s="141"/>
      <c r="L31" s="141"/>
      <c r="M31" s="141"/>
      <c r="N31" s="141"/>
      <c r="O31" s="141"/>
      <c r="P31" s="141"/>
      <c r="Q31" s="142"/>
    </row>
    <row r="32" spans="1:17" ht="18" outlineLevel="1">
      <c r="A32" s="101" t="s">
        <v>43</v>
      </c>
      <c r="B32" s="102" t="s">
        <v>44</v>
      </c>
      <c r="C32" s="102" t="s">
        <v>45</v>
      </c>
      <c r="D32" s="102" t="s">
        <v>46</v>
      </c>
      <c r="E32" s="102" t="s">
        <v>47</v>
      </c>
      <c r="F32" s="102" t="s">
        <v>48</v>
      </c>
      <c r="G32" s="102" t="s">
        <v>49</v>
      </c>
      <c r="H32" s="101" t="s">
        <v>50</v>
      </c>
      <c r="J32" s="101" t="s">
        <v>43</v>
      </c>
      <c r="K32" s="102" t="s">
        <v>44</v>
      </c>
      <c r="L32" s="102" t="s">
        <v>45</v>
      </c>
      <c r="M32" s="102" t="s">
        <v>46</v>
      </c>
      <c r="N32" s="102" t="s">
        <v>47</v>
      </c>
      <c r="O32" s="102" t="s">
        <v>48</v>
      </c>
      <c r="P32" s="102" t="s">
        <v>49</v>
      </c>
      <c r="Q32" s="101" t="s">
        <v>50</v>
      </c>
    </row>
    <row r="33" spans="1:17" ht="18" outlineLevel="1">
      <c r="A33" s="101" t="s">
        <v>59</v>
      </c>
      <c r="B33" s="102" t="s">
        <v>60</v>
      </c>
      <c r="C33" s="102" t="s">
        <v>61</v>
      </c>
      <c r="D33" s="102" t="s">
        <v>62</v>
      </c>
      <c r="E33" s="102" t="s">
        <v>63</v>
      </c>
      <c r="F33" s="102" t="s">
        <v>64</v>
      </c>
      <c r="G33" s="102" t="s">
        <v>65</v>
      </c>
      <c r="H33" s="101" t="s">
        <v>25</v>
      </c>
      <c r="J33" s="101" t="s">
        <v>59</v>
      </c>
      <c r="K33" s="102" t="s">
        <v>60</v>
      </c>
      <c r="L33" s="102" t="s">
        <v>61</v>
      </c>
      <c r="M33" s="102" t="s">
        <v>62</v>
      </c>
      <c r="N33" s="102" t="s">
        <v>63</v>
      </c>
      <c r="O33" s="102" t="s">
        <v>64</v>
      </c>
      <c r="P33" s="102" t="s">
        <v>65</v>
      </c>
      <c r="Q33" s="101" t="s">
        <v>25</v>
      </c>
    </row>
    <row r="34" spans="1:17" ht="18" outlineLevel="1">
      <c r="A34" s="101" t="s">
        <v>73</v>
      </c>
      <c r="B34" s="102" t="s">
        <v>74</v>
      </c>
      <c r="C34" s="103" t="s">
        <v>75</v>
      </c>
      <c r="D34" s="102" t="s">
        <v>76</v>
      </c>
      <c r="E34" s="102" t="s">
        <v>77</v>
      </c>
      <c r="F34" s="102" t="s">
        <v>78</v>
      </c>
      <c r="G34" s="102" t="s">
        <v>79</v>
      </c>
      <c r="H34" s="101" t="s">
        <v>80</v>
      </c>
      <c r="J34" s="101" t="s">
        <v>73</v>
      </c>
      <c r="K34" s="102" t="s">
        <v>74</v>
      </c>
      <c r="L34" s="103" t="s">
        <v>75</v>
      </c>
      <c r="M34" s="102" t="s">
        <v>76</v>
      </c>
      <c r="N34" s="102" t="s">
        <v>77</v>
      </c>
      <c r="O34" s="102" t="s">
        <v>78</v>
      </c>
      <c r="P34" s="102" t="s">
        <v>79</v>
      </c>
      <c r="Q34" s="101" t="s">
        <v>80</v>
      </c>
    </row>
    <row r="35" spans="1:17" ht="27" outlineLevel="1">
      <c r="A35" s="101" t="s">
        <v>88</v>
      </c>
      <c r="B35" s="102" t="s">
        <v>89</v>
      </c>
      <c r="C35" s="102" t="s">
        <v>90</v>
      </c>
      <c r="D35" s="102" t="s">
        <v>91</v>
      </c>
      <c r="E35" s="102" t="s">
        <v>92</v>
      </c>
      <c r="F35" s="102" t="s">
        <v>93</v>
      </c>
      <c r="G35" s="102" t="s">
        <v>94</v>
      </c>
      <c r="H35" s="102" t="s">
        <v>95</v>
      </c>
      <c r="J35" s="101" t="s">
        <v>88</v>
      </c>
      <c r="K35" s="102" t="s">
        <v>89</v>
      </c>
      <c r="L35" s="102" t="s">
        <v>90</v>
      </c>
      <c r="M35" s="102" t="s">
        <v>91</v>
      </c>
      <c r="N35" s="102" t="s">
        <v>92</v>
      </c>
      <c r="O35" s="102" t="s">
        <v>93</v>
      </c>
      <c r="P35" s="102" t="s">
        <v>94</v>
      </c>
      <c r="Q35" s="102" t="s">
        <v>95</v>
      </c>
    </row>
    <row r="36" spans="1:17" ht="18" outlineLevel="1">
      <c r="A36" s="101" t="s">
        <v>97</v>
      </c>
      <c r="B36" s="101" t="s">
        <v>98</v>
      </c>
      <c r="C36" s="102" t="s">
        <v>99</v>
      </c>
      <c r="D36" s="102" t="s">
        <v>100</v>
      </c>
      <c r="E36" s="102" t="s">
        <v>101</v>
      </c>
      <c r="F36" s="102" t="s">
        <v>102</v>
      </c>
      <c r="G36" s="102" t="s">
        <v>103</v>
      </c>
      <c r="H36" s="102" t="s">
        <v>104</v>
      </c>
      <c r="J36" s="101" t="s">
        <v>97</v>
      </c>
      <c r="K36" s="101" t="s">
        <v>98</v>
      </c>
      <c r="L36" s="102" t="s">
        <v>99</v>
      </c>
      <c r="M36" s="102" t="s">
        <v>100</v>
      </c>
      <c r="N36" s="102" t="s">
        <v>101</v>
      </c>
      <c r="O36" s="102" t="s">
        <v>102</v>
      </c>
      <c r="P36" s="102" t="s">
        <v>103</v>
      </c>
      <c r="Q36" s="102" t="s">
        <v>104</v>
      </c>
    </row>
    <row r="37" spans="1:17" ht="18" outlineLevel="1">
      <c r="A37" s="101" t="s">
        <v>106</v>
      </c>
      <c r="B37" s="101" t="s">
        <v>107</v>
      </c>
      <c r="C37" s="102" t="s">
        <v>108</v>
      </c>
      <c r="D37" s="102" t="s">
        <v>109</v>
      </c>
      <c r="E37" s="102" t="s">
        <v>110</v>
      </c>
      <c r="F37" s="102" t="s">
        <v>111</v>
      </c>
      <c r="G37" s="104"/>
      <c r="H37" s="104"/>
      <c r="J37" s="101" t="s">
        <v>106</v>
      </c>
      <c r="K37" s="101" t="s">
        <v>107</v>
      </c>
      <c r="L37" s="102" t="s">
        <v>108</v>
      </c>
      <c r="M37" s="102" t="s">
        <v>109</v>
      </c>
      <c r="N37" s="102" t="s">
        <v>110</v>
      </c>
      <c r="O37" s="102" t="s">
        <v>111</v>
      </c>
      <c r="P37" s="104"/>
      <c r="Q37" s="104"/>
    </row>
    <row r="38" spans="1:17" ht="21" outlineLevel="1">
      <c r="A38" s="88" t="s">
        <v>113</v>
      </c>
      <c r="B38" s="89"/>
      <c r="C38" s="89"/>
      <c r="D38" s="89"/>
      <c r="E38" s="89"/>
      <c r="F38" s="89"/>
      <c r="G38" s="89"/>
      <c r="H38" s="90" t="s">
        <v>114</v>
      </c>
      <c r="J38" s="88" t="s">
        <v>113</v>
      </c>
      <c r="K38" s="89"/>
      <c r="L38" s="89"/>
      <c r="M38" s="89"/>
      <c r="N38" s="89"/>
      <c r="O38" s="89"/>
      <c r="P38" s="89"/>
      <c r="Q38" s="90" t="s">
        <v>114</v>
      </c>
    </row>
  </sheetData>
  <mergeCells count="61">
    <mergeCell ref="K29:M29"/>
    <mergeCell ref="K30:M30"/>
    <mergeCell ref="J31:Q31"/>
    <mergeCell ref="K12:M12"/>
    <mergeCell ref="K13:M13"/>
    <mergeCell ref="K14:M14"/>
    <mergeCell ref="K28:M28"/>
    <mergeCell ref="O28:Q28"/>
    <mergeCell ref="K27:M27"/>
    <mergeCell ref="K19:M19"/>
    <mergeCell ref="K20:M20"/>
    <mergeCell ref="K21:M21"/>
    <mergeCell ref="K22:M22"/>
    <mergeCell ref="K23:M23"/>
    <mergeCell ref="K24:M24"/>
    <mergeCell ref="K25:M25"/>
    <mergeCell ref="K26:M26"/>
    <mergeCell ref="B26:D26"/>
    <mergeCell ref="K16:M16"/>
    <mergeCell ref="K15:M15"/>
    <mergeCell ref="K17:M17"/>
    <mergeCell ref="K18:M18"/>
    <mergeCell ref="A31:H31"/>
    <mergeCell ref="B12:D12"/>
    <mergeCell ref="B13:D13"/>
    <mergeCell ref="B14:D14"/>
    <mergeCell ref="B15:D15"/>
    <mergeCell ref="B17:D17"/>
    <mergeCell ref="B21:D21"/>
    <mergeCell ref="B29:D29"/>
    <mergeCell ref="B22:D22"/>
    <mergeCell ref="F28:H28"/>
    <mergeCell ref="B28:D28"/>
    <mergeCell ref="B23:D23"/>
    <mergeCell ref="B24:D24"/>
    <mergeCell ref="B25:D25"/>
    <mergeCell ref="B30:D30"/>
    <mergeCell ref="B27:D27"/>
    <mergeCell ref="B9:D9"/>
    <mergeCell ref="B10:D10"/>
    <mergeCell ref="B19:D19"/>
    <mergeCell ref="B20:D20"/>
    <mergeCell ref="B18:D18"/>
    <mergeCell ref="B16:D16"/>
    <mergeCell ref="B11:D11"/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C23:D27 B17:B27 B14:D14 K11:M12 B10:D10 B11:B13 B15 B16:D16 K13:K30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2026-03-18T14:46:36Z</cp:lastPrinted>
  <dcterms:created xsi:type="dcterms:W3CDTF">2026-01-30T16:52:29Z</dcterms:created>
  <dcterms:modified xsi:type="dcterms:W3CDTF">2026-03-24T14:54:32Z</dcterms:modified>
</cp:coreProperties>
</file>
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8" i="2"/>
  <c r="N17"/>
  <c r="N16"/>
  <c r="N15"/>
  <c r="N14"/>
  <c r="N13"/>
  <c r="N12"/>
  <c r="N11"/>
  <c r="E14"/>
  <c r="E13"/>
  <c r="E12"/>
  <c r="E11"/>
  <c r="E10"/>
  <c r="N19"/>
</calcChain>
</file>

<file path=xl/sharedStrings.xml><?xml version="1.0" encoding="utf-8"?>
<sst xmlns="http://schemas.openxmlformats.org/spreadsheetml/2006/main" count="192" uniqueCount="106">
  <si>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</si>
  <si>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</si>
  <si>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</si>
  <si>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</si>
  <si>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</si>
  <si>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</si>
  <si>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</si>
  <si>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</si>
  <si>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</si>
  <si>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</si>
  <si>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</si>
  <si>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</si>
  <si>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</si>
  <si>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</si>
  <si>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</si>
  <si>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</si>
  <si>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</si>
  <si>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</si>
  <si>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</si>
  <si>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</si>
  <si>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</si>
  <si>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</si>
  <si>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</si>
  <si>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</si>
  <si>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</si>
  <si>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</si>
  <si>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</si>
  <si>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</si>
  <si>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</si>
  <si>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</si>
  <si>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</si>
  <si>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</si>
  <si>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</si>
  <si>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</si>
  <si>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</si>
  <si>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</si>
  <si>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</si>
  <si>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</si>
  <si>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</si>
  <si>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</si>
  <si>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</si>
  <si>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</si>
  <si>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</si>
  <si>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</si>
  <si>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</si>
  <si>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</si>
  <si>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</si>
  <si>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</si>
  <si>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</si>
  <si>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</si>
  <si>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</si>
  <si>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</si>
  <si>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</si>
  <si>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</si>
  <si>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</si>
  <si>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</si>
  <si>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</si>
  <si>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</si>
  <si>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</si>
  <si>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</si>
  <si>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</si>
  <si>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</si>
  <si>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</si>
  <si>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</si>
  <si>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</si>
  <si>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</si>
  <si>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</si>
  <si>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</si>
  <si>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</si>
  <si>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</si>
  <si>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</si>
  <si>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</si>
  <si>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</si>
  <si>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</si>
  <si>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</si>
  <si>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</si>
  <si>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</si>
  <si>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</si>
  <si>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</si>
  <si>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</si>
  <si>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</si>
  <si>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</si>
  <si>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</si>
  <si>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</si>
  <si>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</si>
  <si>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</si>
  <si>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</si>
  <si>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</si>
  <si>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</si>
  <si>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</si>
  <si>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</si>
  <si>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</si>
  <si>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</si>
  <si>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</si>
  <si>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</si>
  <si>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</si>
  <si>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</si>
  <si>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</si>
  <si>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</si>
  <si>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</si>
  <si>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</si>
  <si>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</si>
  <si>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</si>
  <si>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</si>
  <si>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</si>
  <si>
    <t>PIGMENTO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</si>
</sst>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4"/>
  <sheetViews>
    <sheetView tabSelected="1" zoomScale="90" zoomScaleNormal="90" workbookViewId="0">
      <selection activeCell="P17" sqref="P17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3" t="s">
        <v>0</v>
      </c>
      <c r="D1" s="53"/>
      <c r="E1" s="53"/>
      <c r="F1" s="53"/>
      <c r="G1" s="53"/>
      <c r="H1" s="53"/>
      <c r="J1" s="4"/>
      <c r="K1" s="8"/>
      <c r="L1" s="53" t="s">
        <v>0</v>
      </c>
      <c r="M1" s="53"/>
      <c r="N1" s="53"/>
      <c r="O1" s="53"/>
      <c r="P1" s="53"/>
      <c r="Q1" s="53"/>
    </row>
    <row r="2" spans="1:17" outlineLevel="1">
      <c r="A2" s="10"/>
      <c r="B2" s="8"/>
      <c r="C2" s="53"/>
      <c r="D2" s="53"/>
      <c r="E2" s="53"/>
      <c r="F2" s="53"/>
      <c r="G2" s="53"/>
      <c r="H2" s="53"/>
      <c r="J2" s="10"/>
      <c r="K2" s="8"/>
      <c r="L2" s="53"/>
      <c r="M2" s="53"/>
      <c r="N2" s="53"/>
      <c r="O2" s="53"/>
      <c r="P2" s="53"/>
      <c r="Q2" s="53"/>
    </row>
    <row r="3" spans="1:17" outlineLevel="1">
      <c r="A3" s="54" t="s">
        <v>1</v>
      </c>
      <c r="B3" s="54"/>
      <c r="C3" s="55">
        <v>46296</v>
      </c>
      <c r="D3" s="55"/>
      <c r="E3" s="21" t="s">
        <v>2</v>
      </c>
      <c r="F3" s="1"/>
      <c r="G3" s="11"/>
      <c r="H3" s="11"/>
      <c r="J3" s="54" t="s">
        <v>1</v>
      </c>
      <c r="K3" s="54"/>
      <c r="L3" s="55">
        <v>46297</v>
      </c>
      <c r="M3" s="55"/>
      <c r="N3" s="21" t="s">
        <v>2</v>
      </c>
      <c r="O3" s="1"/>
      <c r="P3" s="11"/>
      <c r="Q3" s="11"/>
    </row>
    <row r="4" spans="1:17" outlineLevel="1">
      <c r="A4" s="54" t="s">
        <v>3</v>
      </c>
      <c r="B4" s="54"/>
      <c r="C4" s="56" t="s">
        <v>4</v>
      </c>
      <c r="D4" s="56"/>
      <c r="E4" s="2"/>
      <c r="F4" s="6"/>
      <c r="G4" s="6"/>
      <c r="H4" s="7"/>
      <c r="J4" s="54" t="s">
        <v>3</v>
      </c>
      <c r="K4" s="54"/>
      <c r="L4" s="56" t="s">
        <v>4</v>
      </c>
      <c r="M4" s="56"/>
      <c r="N4" s="2"/>
      <c r="O4" s="6"/>
      <c r="P4" s="6"/>
      <c r="Q4" s="7"/>
    </row>
    <row r="5" spans="1:17" outlineLevel="1">
      <c r="A5" s="52" t="s">
        <v>5</v>
      </c>
      <c r="B5" s="52"/>
      <c r="C5" s="52"/>
      <c r="D5" s="52"/>
      <c r="E5" s="52"/>
      <c r="F5" s="52"/>
      <c r="G5" s="52"/>
      <c r="H5" s="52"/>
      <c r="J5" s="52" t="s">
        <v>5</v>
      </c>
      <c r="K5" s="52"/>
      <c r="L5" s="52"/>
      <c r="M5" s="52"/>
      <c r="N5" s="52"/>
      <c r="O5" s="52"/>
      <c r="P5" s="52"/>
      <c r="Q5" s="52"/>
    </row>
    <row r="6" spans="1:17" ht="15" customHeight="1" outlineLevel="1">
      <c r="A6" s="49" t="s">
        <v>105</v>
      </c>
      <c r="B6" s="50"/>
      <c r="C6" s="50"/>
      <c r="D6" s="50"/>
      <c r="E6" s="50"/>
      <c r="F6" s="50"/>
      <c r="G6" s="50"/>
      <c r="H6" s="50"/>
      <c r="I6" t="s">
        <v>99</v>
      </c>
      <c r="J6" s="49" t="s">
        <v>104</v>
      </c>
      <c r="K6" s="50"/>
      <c r="L6" s="50"/>
      <c r="M6" s="50"/>
      <c r="N6" s="50"/>
      <c r="O6" s="50"/>
      <c r="P6" s="50"/>
      <c r="Q6" s="50"/>
    </row>
    <row r="7" spans="1:17" outlineLevel="1">
      <c r="A7" s="50"/>
      <c r="B7" s="50"/>
      <c r="C7" s="50"/>
      <c r="D7" s="50"/>
      <c r="E7" s="50"/>
      <c r="F7" s="50"/>
      <c r="G7" s="50"/>
      <c r="H7" s="50"/>
      <c r="J7" s="50"/>
      <c r="K7" s="50"/>
      <c r="L7" s="50"/>
      <c r="M7" s="50"/>
      <c r="N7" s="50"/>
      <c r="O7" s="50"/>
      <c r="P7" s="50"/>
      <c r="Q7" s="50"/>
    </row>
    <row r="8" spans="1:17" outlineLevel="1">
      <c r="A8" s="50"/>
      <c r="B8" s="50"/>
      <c r="C8" s="50"/>
      <c r="D8" s="50"/>
      <c r="E8" s="50"/>
      <c r="F8" s="50"/>
      <c r="G8" s="50"/>
      <c r="H8" s="50"/>
      <c r="J8" s="50"/>
      <c r="K8" s="50"/>
      <c r="L8" s="50"/>
      <c r="M8" s="50"/>
      <c r="N8" s="50"/>
      <c r="O8" s="50"/>
      <c r="P8" s="50"/>
      <c r="Q8" s="50"/>
    </row>
    <row r="9" spans="1:17" ht="21" outlineLevel="1">
      <c r="A9" s="12" t="s">
        <v>6</v>
      </c>
      <c r="B9" s="51" t="s">
        <v>7</v>
      </c>
      <c r="C9" s="51"/>
      <c r="D9" s="51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51" t="s">
        <v>7</v>
      </c>
      <c r="L9" s="51"/>
      <c r="M9" s="51"/>
      <c r="N9" s="9" t="s">
        <v>98</v>
      </c>
      <c r="O9" s="9" t="s">
        <v>8</v>
      </c>
      <c r="P9" s="9" t="s">
        <v>9</v>
      </c>
      <c r="Q9" s="12" t="s">
        <v>10</v>
      </c>
    </row>
    <row r="10" spans="1:17" outlineLevel="1">
      <c r="A10" s="12"/>
      <c r="B10" s="46" t="s">
        <v>81</v>
      </c>
      <c r="C10" s="47"/>
      <c r="D10" s="48"/>
      <c r="E10" s="23">
        <f>(750)</f>
        <v>750</v>
      </c>
      <c r="F10" s="45"/>
      <c r="G10" s="45"/>
      <c r="H10" s="12"/>
      <c r="J10" s="12"/>
      <c r="K10" s="61"/>
      <c r="L10" s="62"/>
      <c r="M10" s="63"/>
      <c r="N10" s="45"/>
      <c r="O10" s="45"/>
      <c r="P10" s="45"/>
      <c r="Q10" s="12"/>
    </row>
    <row r="11" spans="1:17" ht="15" customHeight="1" outlineLevel="1">
      <c r="A11" s="12"/>
      <c r="B11" s="46" t="s">
        <v>96</v>
      </c>
      <c r="C11" s="47"/>
      <c r="D11" s="48"/>
      <c r="E11" s="23">
        <f>(105)</f>
        <v>105</v>
      </c>
      <c r="F11" s="25"/>
      <c r="G11" s="25"/>
      <c r="H11" s="12"/>
      <c r="I11" t="s">
        <v>99</v>
      </c>
      <c r="J11" s="12"/>
      <c r="K11" s="46" t="s">
        <v>100</v>
      </c>
      <c r="L11" s="47"/>
      <c r="M11" s="48"/>
      <c r="N11" s="23">
        <f>(12+110+9+6)</f>
        <v>137</v>
      </c>
      <c r="O11" s="25"/>
      <c r="P11" s="25"/>
      <c r="Q11" s="12"/>
    </row>
    <row r="12" spans="1:17" ht="15" customHeight="1" outlineLevel="1">
      <c r="A12" s="12"/>
      <c r="B12" s="46" t="s">
        <v>64</v>
      </c>
      <c r="C12" s="47"/>
      <c r="D12" s="48"/>
      <c r="E12" s="23">
        <f>(152)</f>
        <v>152</v>
      </c>
      <c r="F12" s="44"/>
      <c r="G12" s="44"/>
      <c r="H12" s="12"/>
      <c r="J12" s="12"/>
      <c r="K12" s="46" t="s">
        <v>91</v>
      </c>
      <c r="L12" s="47"/>
      <c r="M12" s="48"/>
      <c r="N12" s="23">
        <f>(6)</f>
        <v>6</v>
      </c>
      <c r="O12" s="44"/>
      <c r="P12" s="44"/>
      <c r="Q12" s="12"/>
    </row>
    <row r="13" spans="1:17" ht="15" customHeight="1" outlineLevel="1">
      <c r="A13" s="13"/>
      <c r="B13" s="46" t="s">
        <v>90</v>
      </c>
      <c r="C13" s="47"/>
      <c r="D13" s="48"/>
      <c r="E13" s="23">
        <f>(349)</f>
        <v>349</v>
      </c>
      <c r="F13" s="16"/>
      <c r="G13" s="3"/>
      <c r="H13" s="9"/>
      <c r="I13" t="s">
        <v>103</v>
      </c>
      <c r="J13" s="13"/>
      <c r="K13" s="46" t="s">
        <v>88</v>
      </c>
      <c r="L13" s="47"/>
      <c r="M13" s="48"/>
      <c r="N13" s="23">
        <f>(3+22+4)</f>
        <v>29</v>
      </c>
      <c r="O13" s="16"/>
      <c r="P13" s="3"/>
      <c r="Q13" s="9"/>
    </row>
    <row r="14" spans="1:17" ht="15" customHeight="1" outlineLevel="1">
      <c r="A14" s="13"/>
      <c r="B14" s="46" t="s">
        <v>62</v>
      </c>
      <c r="C14" s="47"/>
      <c r="D14" s="48"/>
      <c r="E14" s="23">
        <f>(420)</f>
        <v>420</v>
      </c>
      <c r="F14" s="16"/>
      <c r="G14" s="3"/>
      <c r="H14" s="45"/>
      <c r="J14" s="13"/>
      <c r="K14" s="46" t="s">
        <v>85</v>
      </c>
      <c r="L14" s="47"/>
      <c r="M14" s="48"/>
      <c r="N14" s="23">
        <f>(2)</f>
        <v>2</v>
      </c>
      <c r="O14" s="16"/>
      <c r="P14" s="3"/>
      <c r="Q14" s="45"/>
    </row>
    <row r="15" spans="1:17" ht="15" customHeight="1" outlineLevel="1">
      <c r="A15" s="13"/>
      <c r="B15" s="46" t="s">
        <v>75</v>
      </c>
      <c r="C15" s="47"/>
      <c r="D15" s="48"/>
      <c r="E15" s="32">
        <v>2.2999999999999998</v>
      </c>
      <c r="F15" s="16"/>
      <c r="G15" s="3"/>
      <c r="H15" s="33"/>
      <c r="J15" s="13"/>
      <c r="K15" s="46" t="s">
        <v>84</v>
      </c>
      <c r="L15" s="47"/>
      <c r="M15" s="48"/>
      <c r="N15" s="23">
        <f>(55)</f>
        <v>55</v>
      </c>
      <c r="O15" s="16"/>
      <c r="P15" s="3"/>
      <c r="Q15" s="33"/>
    </row>
    <row r="16" spans="1:17" ht="15" customHeight="1" outlineLevel="1">
      <c r="A16" s="13"/>
      <c r="B16" s="46" t="s">
        <v>83</v>
      </c>
      <c r="C16" s="47"/>
      <c r="D16" s="48"/>
      <c r="E16" s="32">
        <v>20</v>
      </c>
      <c r="F16" s="16"/>
      <c r="G16" s="3"/>
      <c r="H16" s="34"/>
      <c r="J16" s="13"/>
      <c r="K16" s="46" t="s">
        <v>87</v>
      </c>
      <c r="L16" s="47"/>
      <c r="M16" s="48"/>
      <c r="N16" s="23">
        <f>(1)</f>
        <v>1</v>
      </c>
      <c r="O16" s="16"/>
      <c r="P16" s="3"/>
      <c r="Q16" s="34"/>
    </row>
    <row r="17" spans="1:17" ht="15" customHeight="1" outlineLevel="1">
      <c r="A17" s="13"/>
      <c r="B17" s="46"/>
      <c r="C17" s="47"/>
      <c r="D17" s="48"/>
      <c r="E17" s="23"/>
      <c r="F17" s="16"/>
      <c r="G17" s="3"/>
      <c r="H17" s="35"/>
      <c r="J17" s="13"/>
      <c r="K17" s="46" t="s">
        <v>86</v>
      </c>
      <c r="L17" s="47"/>
      <c r="M17" s="48"/>
      <c r="N17" s="23">
        <f>(139)</f>
        <v>139</v>
      </c>
      <c r="O17" s="16"/>
      <c r="P17" s="3"/>
      <c r="Q17" s="35"/>
    </row>
    <row r="18" spans="1:17" ht="15" customHeight="1" outlineLevel="1">
      <c r="A18" s="13"/>
      <c r="B18" s="46"/>
      <c r="C18" s="47"/>
      <c r="D18" s="48"/>
      <c r="E18" s="23"/>
      <c r="F18" s="16"/>
      <c r="G18" s="3"/>
      <c r="H18" s="39"/>
      <c r="J18" s="13"/>
      <c r="K18" s="46" t="s">
        <v>79</v>
      </c>
      <c r="L18" s="47"/>
      <c r="M18" s="48"/>
      <c r="N18" s="23">
        <f>(2)</f>
        <v>2</v>
      </c>
      <c r="O18" s="16"/>
      <c r="P18" s="3"/>
      <c r="Q18" s="39"/>
    </row>
    <row r="19" spans="1:17" ht="15" customHeight="1" outlineLevel="1">
      <c r="A19" s="13"/>
      <c r="B19" s="46"/>
      <c r="C19" s="47"/>
      <c r="D19" s="48"/>
      <c r="E19" s="23"/>
      <c r="F19" s="16"/>
      <c r="G19" s="3"/>
      <c r="H19" s="44"/>
      <c r="J19" s="13"/>
      <c r="K19" s="46" t="s">
        <v>95</v>
      </c>
      <c r="L19" s="47"/>
      <c r="M19" s="48"/>
      <c r="N19" s="32">
        <f>(30)</f>
        <v>30</v>
      </c>
      <c r="O19" s="16"/>
      <c r="P19" s="3"/>
      <c r="Q19" s="44"/>
    </row>
    <row r="20" spans="1:17" ht="15" customHeight="1" outlineLevel="1">
      <c r="A20" s="13"/>
      <c r="B20" s="46"/>
      <c r="C20" s="47"/>
      <c r="D20" s="48"/>
      <c r="E20" s="32"/>
      <c r="F20" s="16"/>
      <c r="G20" s="3"/>
      <c r="H20" s="44"/>
      <c r="J20" s="13"/>
      <c r="K20" s="46" t="s">
        <v>65</v>
      </c>
      <c r="L20" s="47"/>
      <c r="M20" s="48"/>
      <c r="N20" s="32">
        <v>4</v>
      </c>
      <c r="O20" s="16"/>
      <c r="P20" s="3"/>
      <c r="Q20" s="44"/>
    </row>
    <row r="21" spans="1:17" ht="15" customHeight="1" outlineLevel="1">
      <c r="A21" s="13"/>
      <c r="B21" s="46"/>
      <c r="C21" s="47"/>
      <c r="D21" s="48"/>
      <c r="E21" s="32"/>
      <c r="F21" s="16"/>
      <c r="G21" s="3"/>
      <c r="H21" s="43"/>
      <c r="J21" s="13"/>
      <c r="K21" s="46" t="s">
        <v>72</v>
      </c>
      <c r="L21" s="47"/>
      <c r="M21" s="48"/>
      <c r="N21" s="32">
        <v>14</v>
      </c>
      <c r="O21" s="16"/>
      <c r="P21" s="3"/>
      <c r="Q21" s="43"/>
    </row>
    <row r="22" spans="1:17" ht="15" customHeight="1" outlineLevel="1">
      <c r="A22" s="13"/>
      <c r="B22" s="46"/>
      <c r="C22" s="47"/>
      <c r="D22" s="48"/>
      <c r="E22" s="32"/>
      <c r="F22" s="16"/>
      <c r="G22" s="3"/>
      <c r="H22" s="42"/>
      <c r="J22" s="13"/>
      <c r="K22" s="46" t="s">
        <v>102</v>
      </c>
      <c r="L22" s="47"/>
      <c r="M22" s="48"/>
      <c r="N22" s="32">
        <v>18</v>
      </c>
      <c r="O22" s="16"/>
      <c r="P22" s="3"/>
      <c r="Q22" s="42"/>
    </row>
    <row r="23" spans="1:17" ht="15" customHeight="1" outlineLevel="1">
      <c r="A23" s="13"/>
      <c r="B23" s="46"/>
      <c r="C23" s="47"/>
      <c r="D23" s="48"/>
      <c r="E23" s="32"/>
      <c r="F23" s="16"/>
      <c r="G23" s="3"/>
      <c r="H23" s="42"/>
      <c r="J23" s="13"/>
      <c r="K23" s="46"/>
      <c r="L23" s="47"/>
      <c r="M23" s="48"/>
      <c r="N23" s="32"/>
      <c r="O23" s="16"/>
      <c r="P23" s="3"/>
      <c r="Q23" s="42"/>
    </row>
    <row r="24" spans="1:17" ht="15" customHeight="1" outlineLevel="1">
      <c r="A24" s="13"/>
      <c r="B24" s="46"/>
      <c r="C24" s="47"/>
      <c r="D24" s="48"/>
      <c r="E24" s="32"/>
      <c r="F24" s="38"/>
      <c r="G24" s="3"/>
      <c r="H24" s="37"/>
      <c r="J24" s="13"/>
      <c r="K24" s="46"/>
      <c r="L24" s="47"/>
      <c r="M24" s="48"/>
      <c r="N24" s="23"/>
      <c r="O24" s="38"/>
      <c r="P24" s="3"/>
      <c r="Q24" s="37"/>
    </row>
    <row r="25" spans="1:17" ht="15" customHeight="1" outlineLevel="1">
      <c r="A25" s="13"/>
      <c r="B25" s="46"/>
      <c r="C25" s="47"/>
      <c r="D25" s="48"/>
      <c r="E25" s="23"/>
      <c r="F25" s="15"/>
      <c r="G25" s="15"/>
      <c r="H25" s="9"/>
      <c r="J25" s="13"/>
      <c r="K25" s="46"/>
      <c r="L25" s="47"/>
      <c r="M25" s="48"/>
      <c r="N25" s="23"/>
      <c r="O25" s="36"/>
      <c r="P25" s="3"/>
      <c r="Q25" s="9"/>
    </row>
    <row r="26" spans="1:17" ht="15" customHeight="1" outlineLevel="1">
      <c r="A26" s="13"/>
      <c r="B26" s="46"/>
      <c r="C26" s="47"/>
      <c r="D26" s="48"/>
      <c r="E26" s="32"/>
      <c r="F26" s="15"/>
      <c r="G26" s="15"/>
      <c r="H26" s="9"/>
      <c r="J26" s="13"/>
      <c r="K26" s="46"/>
      <c r="L26" s="47"/>
      <c r="M26" s="48"/>
      <c r="N26" s="23"/>
      <c r="O26" s="15"/>
      <c r="P26" s="3"/>
      <c r="Q26" s="9"/>
    </row>
    <row r="27" spans="1:17" ht="15" customHeight="1" outlineLevel="1">
      <c r="A27" s="13"/>
      <c r="B27" s="46"/>
      <c r="C27" s="47"/>
      <c r="D27" s="48"/>
      <c r="E27" s="32"/>
      <c r="F27" s="14"/>
      <c r="G27" s="3"/>
      <c r="H27" s="9" t="s">
        <v>103</v>
      </c>
      <c r="J27" s="13"/>
      <c r="K27" s="46"/>
      <c r="L27" s="47"/>
      <c r="M27" s="48"/>
      <c r="N27" s="23"/>
      <c r="O27" s="14"/>
      <c r="P27" s="3" t="s">
        <v>99</v>
      </c>
      <c r="Q27" s="9"/>
    </row>
    <row r="28" spans="1:17" ht="15" customHeight="1" outlineLevel="1">
      <c r="A28" s="13"/>
      <c r="B28" s="46"/>
      <c r="C28" s="47"/>
      <c r="D28" s="48"/>
      <c r="E28" s="23"/>
      <c r="F28" s="40"/>
      <c r="G28" s="3"/>
      <c r="H28" s="9"/>
      <c r="J28" s="13"/>
      <c r="K28" s="46"/>
      <c r="L28" s="47"/>
      <c r="M28" s="48"/>
      <c r="N28" s="32"/>
      <c r="O28" s="14"/>
      <c r="P28" s="3"/>
      <c r="Q28" s="9"/>
    </row>
    <row r="29" spans="1:17" ht="15" customHeight="1" outlineLevel="1">
      <c r="A29" s="4"/>
      <c r="B29" s="46"/>
      <c r="C29" s="47"/>
      <c r="D29" s="48"/>
      <c r="E29" s="32"/>
      <c r="F29" s="6"/>
      <c r="G29" s="6"/>
      <c r="H29" s="7"/>
      <c r="J29" s="4"/>
      <c r="K29" s="46"/>
      <c r="L29" s="47"/>
      <c r="M29" s="48"/>
      <c r="N29" s="32"/>
      <c r="O29" s="6"/>
      <c r="P29" s="6"/>
      <c r="Q29" s="7"/>
    </row>
    <row r="30" spans="1:17" ht="15" customHeight="1" outlineLevel="1">
      <c r="A30" s="17" t="s">
        <v>12</v>
      </c>
      <c r="B30" s="46"/>
      <c r="C30" s="47"/>
      <c r="D30" s="48"/>
      <c r="E30" s="32"/>
      <c r="F30" s="31"/>
      <c r="G30" s="31"/>
      <c r="H30" s="31"/>
      <c r="J30" s="17" t="s">
        <v>12</v>
      </c>
      <c r="K30" s="46"/>
      <c r="L30" s="47"/>
      <c r="M30" s="48"/>
      <c r="N30" s="32"/>
      <c r="O30" s="60"/>
      <c r="P30" s="60"/>
      <c r="Q30" s="60"/>
    </row>
    <row r="31" spans="1:17" outlineLevel="1">
      <c r="A31" s="4"/>
      <c r="B31" s="46"/>
      <c r="C31" s="47"/>
      <c r="D31" s="48"/>
      <c r="E31" s="32"/>
      <c r="F31" s="6"/>
      <c r="G31" s="6"/>
      <c r="H31" s="7"/>
      <c r="J31" s="4"/>
      <c r="K31" s="46"/>
      <c r="L31" s="47"/>
      <c r="M31" s="48"/>
      <c r="N31" s="32"/>
      <c r="O31" s="6"/>
      <c r="P31" s="6"/>
      <c r="Q31" s="7"/>
    </row>
    <row r="32" spans="1:17" outlineLevel="1">
      <c r="A32" s="4"/>
      <c r="B32" s="46"/>
      <c r="C32" s="47"/>
      <c r="D32" s="48"/>
      <c r="E32" s="32"/>
      <c r="F32" s="6"/>
      <c r="G32" s="6"/>
      <c r="H32" s="7"/>
      <c r="J32" s="4"/>
      <c r="K32" s="46"/>
      <c r="L32" s="47"/>
      <c r="M32" s="48"/>
      <c r="N32" s="32"/>
      <c r="O32" s="6"/>
      <c r="P32" s="6"/>
      <c r="Q32" s="7"/>
    </row>
    <row r="33" spans="1:17" outlineLevel="1">
      <c r="A33" s="4"/>
      <c r="B33" s="46"/>
      <c r="C33" s="47"/>
      <c r="D33" s="48"/>
      <c r="E33" s="32"/>
      <c r="F33" s="6"/>
      <c r="G33" s="6"/>
      <c r="H33" s="7"/>
      <c r="J33" s="4"/>
      <c r="K33" s="46"/>
      <c r="L33" s="47"/>
      <c r="M33" s="48"/>
      <c r="N33" s="32"/>
      <c r="O33" s="6"/>
      <c r="P33" s="6"/>
      <c r="Q33" s="7"/>
    </row>
    <row r="34" spans="1:17" outlineLevel="1">
      <c r="A34" s="4"/>
      <c r="B34" s="46"/>
      <c r="C34" s="47"/>
      <c r="D34" s="48"/>
      <c r="E34" s="32"/>
      <c r="F34" s="6"/>
      <c r="G34" s="6"/>
      <c r="H34" s="7"/>
      <c r="J34" s="4"/>
      <c r="K34" s="46"/>
      <c r="L34" s="47"/>
      <c r="M34" s="48"/>
      <c r="N34" s="32"/>
      <c r="O34" s="6"/>
      <c r="P34" s="6"/>
      <c r="Q34" s="7"/>
    </row>
    <row r="35" spans="1:17" ht="18" outlineLevel="1">
      <c r="A35" s="17" t="s">
        <v>13</v>
      </c>
      <c r="B35" s="46"/>
      <c r="C35" s="47"/>
      <c r="D35" s="48"/>
      <c r="E35" s="32"/>
      <c r="F35" s="6"/>
      <c r="G35" s="6"/>
      <c r="H35" s="7"/>
      <c r="J35" s="17" t="s">
        <v>13</v>
      </c>
      <c r="K35" s="46"/>
      <c r="L35" s="47"/>
      <c r="M35" s="48"/>
      <c r="N35" s="32"/>
      <c r="O35" s="6"/>
      <c r="P35" s="6"/>
      <c r="Q35" s="7"/>
    </row>
    <row r="36" spans="1:17" ht="15" customHeight="1" outlineLevel="1">
      <c r="A36" s="17"/>
      <c r="B36" s="46"/>
      <c r="C36" s="47"/>
      <c r="D36" s="48"/>
      <c r="E36" s="24"/>
      <c r="F36" s="6"/>
      <c r="G36" s="6"/>
      <c r="H36" s="7"/>
      <c r="J36" s="27"/>
      <c r="K36" s="26"/>
      <c r="L36" s="26"/>
      <c r="M36" s="26"/>
      <c r="N36" s="28"/>
      <c r="O36" s="29"/>
      <c r="P36" s="29"/>
      <c r="Q36" s="30"/>
    </row>
    <row r="37" spans="1:17" ht="16.5" customHeight="1" outlineLevel="1">
      <c r="A37" s="57" t="s">
        <v>10</v>
      </c>
      <c r="B37" s="58"/>
      <c r="C37" s="58"/>
      <c r="D37" s="58"/>
      <c r="E37" s="58"/>
      <c r="F37" s="58"/>
      <c r="G37" s="58"/>
      <c r="H37" s="59"/>
      <c r="J37" s="57" t="s">
        <v>10</v>
      </c>
      <c r="K37" s="58"/>
      <c r="L37" s="58"/>
      <c r="M37" s="58"/>
      <c r="N37" s="58"/>
      <c r="O37" s="58"/>
      <c r="P37" s="58"/>
      <c r="Q37" s="59"/>
    </row>
    <row r="38" spans="1:17" ht="18" outlineLevel="1">
      <c r="A38" s="17" t="s">
        <v>14</v>
      </c>
      <c r="B38" s="18" t="s">
        <v>15</v>
      </c>
      <c r="C38" s="18" t="s">
        <v>16</v>
      </c>
      <c r="D38" s="18" t="s">
        <v>17</v>
      </c>
      <c r="E38" s="18" t="s">
        <v>18</v>
      </c>
      <c r="F38" s="18" t="s">
        <v>19</v>
      </c>
      <c r="G38" s="18" t="s">
        <v>20</v>
      </c>
      <c r="H38" s="17" t="s">
        <v>21</v>
      </c>
      <c r="J38" s="17" t="s">
        <v>14</v>
      </c>
      <c r="K38" s="18" t="s">
        <v>15</v>
      </c>
      <c r="L38" s="18" t="s">
        <v>16</v>
      </c>
      <c r="M38" s="18" t="s">
        <v>17</v>
      </c>
      <c r="N38" s="18" t="s">
        <v>18</v>
      </c>
      <c r="O38" s="18" t="s">
        <v>19</v>
      </c>
      <c r="P38" s="18" t="s">
        <v>20</v>
      </c>
      <c r="Q38" s="17" t="s">
        <v>21</v>
      </c>
    </row>
    <row r="39" spans="1:17" ht="18" outlineLevel="1">
      <c r="A39" s="17" t="s">
        <v>22</v>
      </c>
      <c r="B39" s="18" t="s">
        <v>23</v>
      </c>
      <c r="C39" s="18" t="s">
        <v>24</v>
      </c>
      <c r="D39" s="18" t="s">
        <v>25</v>
      </c>
      <c r="E39" s="18" t="s">
        <v>26</v>
      </c>
      <c r="F39" s="18" t="s">
        <v>27</v>
      </c>
      <c r="G39" s="18" t="s">
        <v>28</v>
      </c>
      <c r="H39" s="41" t="s">
        <v>11</v>
      </c>
      <c r="J39" s="17" t="s">
        <v>22</v>
      </c>
      <c r="K39" s="18" t="s">
        <v>23</v>
      </c>
      <c r="L39" s="18" t="s">
        <v>24</v>
      </c>
      <c r="M39" s="18" t="s">
        <v>25</v>
      </c>
      <c r="N39" s="18" t="s">
        <v>26</v>
      </c>
      <c r="O39" s="18" t="s">
        <v>27</v>
      </c>
      <c r="P39" s="18" t="s">
        <v>28</v>
      </c>
      <c r="Q39" s="17" t="s">
        <v>11</v>
      </c>
    </row>
    <row r="40" spans="1:17" ht="18" outlineLevel="1">
      <c r="A40" s="17" t="s">
        <v>29</v>
      </c>
      <c r="B40" s="18" t="s">
        <v>30</v>
      </c>
      <c r="C40" s="19" t="s">
        <v>31</v>
      </c>
      <c r="D40" s="18" t="s">
        <v>32</v>
      </c>
      <c r="E40" s="18" t="s">
        <v>33</v>
      </c>
      <c r="F40" s="18" t="s">
        <v>34</v>
      </c>
      <c r="G40" s="18" t="s">
        <v>35</v>
      </c>
      <c r="H40" s="17" t="s">
        <v>36</v>
      </c>
      <c r="J40" s="17" t="s">
        <v>29</v>
      </c>
      <c r="K40" s="18" t="s">
        <v>30</v>
      </c>
      <c r="L40" s="19" t="s">
        <v>31</v>
      </c>
      <c r="M40" s="18" t="s">
        <v>32</v>
      </c>
      <c r="N40" s="18" t="s">
        <v>33</v>
      </c>
      <c r="O40" s="18" t="s">
        <v>34</v>
      </c>
      <c r="P40" s="18" t="s">
        <v>35</v>
      </c>
      <c r="Q40" s="17" t="s">
        <v>36</v>
      </c>
    </row>
    <row r="41" spans="1:17" ht="27" outlineLevel="1">
      <c r="A41" s="17" t="s">
        <v>37</v>
      </c>
      <c r="B41" s="18" t="s">
        <v>38</v>
      </c>
      <c r="C41" s="18" t="s">
        <v>39</v>
      </c>
      <c r="D41" s="18" t="s">
        <v>40</v>
      </c>
      <c r="E41" s="18" t="s">
        <v>41</v>
      </c>
      <c r="F41" s="18" t="s">
        <v>42</v>
      </c>
      <c r="G41" s="18" t="s">
        <v>43</v>
      </c>
      <c r="H41" s="18" t="s">
        <v>44</v>
      </c>
      <c r="J41" s="17" t="s">
        <v>37</v>
      </c>
      <c r="K41" s="18" t="s">
        <v>38</v>
      </c>
      <c r="L41" s="18" t="s">
        <v>39</v>
      </c>
      <c r="M41" s="18" t="s">
        <v>40</v>
      </c>
      <c r="N41" s="18" t="s">
        <v>41</v>
      </c>
      <c r="O41" s="18" t="s">
        <v>42</v>
      </c>
      <c r="P41" s="18" t="s">
        <v>43</v>
      </c>
      <c r="Q41" s="18" t="s">
        <v>44</v>
      </c>
    </row>
    <row r="42" spans="1:17" ht="18" outlineLevel="1">
      <c r="A42" s="17" t="s">
        <v>45</v>
      </c>
      <c r="B42" s="17" t="s">
        <v>46</v>
      </c>
      <c r="C42" s="18" t="s">
        <v>47</v>
      </c>
      <c r="D42" s="18" t="s">
        <v>48</v>
      </c>
      <c r="E42" s="18" t="s">
        <v>49</v>
      </c>
      <c r="F42" s="18" t="s">
        <v>50</v>
      </c>
      <c r="G42" s="18" t="s">
        <v>51</v>
      </c>
      <c r="H42" s="18" t="s">
        <v>52</v>
      </c>
      <c r="J42" s="17" t="s">
        <v>45</v>
      </c>
      <c r="K42" s="17" t="s">
        <v>46</v>
      </c>
      <c r="L42" s="18" t="s">
        <v>47</v>
      </c>
      <c r="M42" s="18" t="s">
        <v>48</v>
      </c>
      <c r="N42" s="18" t="s">
        <v>49</v>
      </c>
      <c r="O42" s="18" t="s">
        <v>50</v>
      </c>
      <c r="P42" s="18" t="s">
        <v>51</v>
      </c>
      <c r="Q42" s="18" t="s">
        <v>52</v>
      </c>
    </row>
    <row r="43" spans="1:17" ht="18" outlineLevel="1">
      <c r="A43" s="17" t="s">
        <v>53</v>
      </c>
      <c r="B43" s="17" t="s">
        <v>54</v>
      </c>
      <c r="C43" s="18" t="s">
        <v>55</v>
      </c>
      <c r="D43" s="18" t="s">
        <v>56</v>
      </c>
      <c r="E43" s="18" t="s">
        <v>57</v>
      </c>
      <c r="F43" s="18" t="s">
        <v>58</v>
      </c>
      <c r="G43" s="20"/>
      <c r="H43" s="20"/>
      <c r="J43" s="17" t="s">
        <v>53</v>
      </c>
      <c r="K43" s="17" t="s">
        <v>54</v>
      </c>
      <c r="L43" s="18" t="s">
        <v>55</v>
      </c>
      <c r="M43" s="18" t="s">
        <v>56</v>
      </c>
      <c r="N43" s="18" t="s">
        <v>57</v>
      </c>
      <c r="O43" s="18" t="s">
        <v>58</v>
      </c>
      <c r="P43" s="20"/>
      <c r="Q43" s="20"/>
    </row>
    <row r="44" spans="1:17" ht="21" outlineLevel="1">
      <c r="A44" s="5" t="s">
        <v>59</v>
      </c>
      <c r="B44" s="6"/>
      <c r="C44" s="6"/>
      <c r="D44" s="6"/>
      <c r="E44" s="6"/>
      <c r="F44" s="6"/>
      <c r="G44" s="6"/>
      <c r="H44" s="7" t="s">
        <v>60</v>
      </c>
      <c r="J44" s="5" t="s">
        <v>59</v>
      </c>
      <c r="K44" s="6"/>
      <c r="L44" s="6"/>
      <c r="M44" s="6"/>
      <c r="N44" s="6"/>
      <c r="O44" s="6"/>
      <c r="P44" s="6"/>
      <c r="Q44" s="7" t="s">
        <v>60</v>
      </c>
    </row>
  </sheetData>
  <mergeCells count="71">
    <mergeCell ref="J37:Q37"/>
    <mergeCell ref="K30:M30"/>
    <mergeCell ref="O30:Q30"/>
    <mergeCell ref="K25:M25"/>
    <mergeCell ref="K29:M29"/>
    <mergeCell ref="K26:M26"/>
    <mergeCell ref="K27:M27"/>
    <mergeCell ref="K28:M28"/>
    <mergeCell ref="K33:M33"/>
    <mergeCell ref="K34:M34"/>
    <mergeCell ref="K32:M32"/>
    <mergeCell ref="K35:M35"/>
    <mergeCell ref="K31:M31"/>
    <mergeCell ref="A37:H37"/>
    <mergeCell ref="B13:D13"/>
    <mergeCell ref="B31:D31"/>
    <mergeCell ref="B30:D30"/>
    <mergeCell ref="B25:D25"/>
    <mergeCell ref="B26:D26"/>
    <mergeCell ref="B27:D27"/>
    <mergeCell ref="B35:D35"/>
    <mergeCell ref="B29:D29"/>
    <mergeCell ref="B36:D36"/>
    <mergeCell ref="B28:D28"/>
    <mergeCell ref="B15:D15"/>
    <mergeCell ref="B21:D21"/>
    <mergeCell ref="B32:D32"/>
    <mergeCell ref="B33:D33"/>
    <mergeCell ref="B34:D34"/>
    <mergeCell ref="C1:H2"/>
    <mergeCell ref="A3:B3"/>
    <mergeCell ref="C3:D3"/>
    <mergeCell ref="A4:B4"/>
    <mergeCell ref="C4:D4"/>
    <mergeCell ref="L1:Q2"/>
    <mergeCell ref="J3:K3"/>
    <mergeCell ref="L3:M3"/>
    <mergeCell ref="J4:K4"/>
    <mergeCell ref="L4:M4"/>
    <mergeCell ref="J6:Q8"/>
    <mergeCell ref="K9:M9"/>
    <mergeCell ref="K15:M15"/>
    <mergeCell ref="J5:Q5"/>
    <mergeCell ref="A6:H8"/>
    <mergeCell ref="B9:D9"/>
    <mergeCell ref="B11:D11"/>
    <mergeCell ref="A5:H5"/>
    <mergeCell ref="K11:M11"/>
    <mergeCell ref="K13:M13"/>
    <mergeCell ref="B12:D12"/>
    <mergeCell ref="K12:M12"/>
    <mergeCell ref="B10:D10"/>
    <mergeCell ref="B14:D14"/>
    <mergeCell ref="K14:M14"/>
    <mergeCell ref="K24:M24"/>
    <mergeCell ref="B17:D17"/>
    <mergeCell ref="B24:D24"/>
    <mergeCell ref="K18:M18"/>
    <mergeCell ref="B22:D22"/>
    <mergeCell ref="B23:D23"/>
    <mergeCell ref="B18:D18"/>
    <mergeCell ref="K22:M22"/>
    <mergeCell ref="K23:M23"/>
    <mergeCell ref="B19:D19"/>
    <mergeCell ref="B20:D20"/>
    <mergeCell ref="K19:M19"/>
    <mergeCell ref="K20:M20"/>
    <mergeCell ref="K17:M17"/>
    <mergeCell ref="K21:M21"/>
    <mergeCell ref="B16:D16"/>
    <mergeCell ref="K16:M16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B36 K36 B11:B31 K11:K31</xm:sqref>
        </x14:dataValidation>
        <x14:dataValidation type="list" allowBlank="1" showInputMessage="1" showErrorMessage="1">
          <x14:formula1>
            <xm:f>[1]Hoja3!#REF!</xm:f>
          </x14:formula1>
          <xm:sqref>B35 K35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topLeftCell="A7" workbookViewId="0">
      <selection activeCell="A20" sqref="A20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  <ignoredErrors>
    <ignoredError sqref="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2026-08-20T21:29:49Z</cp:lastPrinted>
  <dcterms:created xsi:type="dcterms:W3CDTF">2026-01-30T16:52:29Z</dcterms:created>
  <dcterms:modified xsi:type="dcterms:W3CDTF">2026-10-07T18:18:58Z</dcterms:modified>
</cp:coreProperties>
</file>
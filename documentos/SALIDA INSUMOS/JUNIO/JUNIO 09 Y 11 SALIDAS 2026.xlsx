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840" windowWidth="15600" windowHeight="7350" tabRatio="137" activeTab="1"/>
  </bookViews>
  <sheets>
    <sheet name="Hoja1" sheetId="1" r:id="rId1"/>
    <sheet name="Hoja2" sheetId="2" r:id="rId2"/>
    <sheet name="Hoja3" sheetId="3" r:id="rId3"/>
    <sheet name="Hoja4" sheetId="4" r:id="rId4"/>
  </sheets>
  <externalReferences>
    <externalReference r:id="rId5"/>
  </externalReferences>
  <definedNames>
    <definedName name="ceco">Hoja1!$V$1:$V$47</definedName>
    <definedName name="PROCESOS">Hoja1!$A$16359:$A$16373</definedName>
  </definedNames>
  <calcPr calcId="144525"/>
</workbook>
</file>

<file path=xl/calcChain.xml><?xml version="1.0" encoding="utf-8"?>
<calcChain xmlns="http://schemas.openxmlformats.org/spreadsheetml/2006/main">
  <c r="N15" i="2" l="1"/>
  <c r="N16" i="2"/>
  <c r="N14" i="2"/>
  <c r="N13" i="2"/>
  <c r="N12" i="2"/>
  <c r="N11" i="2"/>
  <c r="E14" i="2"/>
  <c r="E13" i="2"/>
  <c r="E12" i="2"/>
  <c r="E11" i="2"/>
  <c r="E10" i="2"/>
</calcChain>
</file>

<file path=xl/sharedStrings.xml><?xml version="1.0" encoding="utf-8"?>
<sst xmlns="http://schemas.openxmlformats.org/spreadsheetml/2006/main" count="445" uniqueCount="242">
  <si>
    <t xml:space="preserve">REQUISICIÓN DE INSUMOS, MATERIALES Y EQUIPOS </t>
  </si>
  <si>
    <t xml:space="preserve">REQUISICIÓN DE MATERIALES </t>
  </si>
  <si>
    <t>011</t>
  </si>
  <si>
    <t>012</t>
  </si>
  <si>
    <t>FECHA DE SOLICITUD</t>
  </si>
  <si>
    <t>SOLICITADO A</t>
  </si>
  <si>
    <t>PROCESO</t>
  </si>
  <si>
    <t>013</t>
  </si>
  <si>
    <t>PROCESO SOLICITANTE</t>
  </si>
  <si>
    <t>ESTAMPADO</t>
  </si>
  <si>
    <t>014</t>
  </si>
  <si>
    <t xml:space="preserve">OBSERVACIONES  </t>
  </si>
  <si>
    <t>OBSERVACIONES</t>
  </si>
  <si>
    <t>015</t>
  </si>
  <si>
    <t>016</t>
  </si>
  <si>
    <t>021</t>
  </si>
  <si>
    <t>022</t>
  </si>
  <si>
    <t>CÓDIGO</t>
  </si>
  <si>
    <t>PRODUCTO</t>
  </si>
  <si>
    <t>CANTIDAD</t>
  </si>
  <si>
    <t>SALDO ACTUAL</t>
  </si>
  <si>
    <t xml:space="preserve"> FECHA DE USO</t>
  </si>
  <si>
    <t>SECCIÓN DE USO</t>
  </si>
  <si>
    <t xml:space="preserve"> FEHA DE USO</t>
  </si>
  <si>
    <t>023</t>
  </si>
  <si>
    <t>032.Estampado</t>
  </si>
  <si>
    <t>024</t>
  </si>
  <si>
    <t>025</t>
  </si>
  <si>
    <t>026</t>
  </si>
  <si>
    <t>027</t>
  </si>
  <si>
    <t>028</t>
  </si>
  <si>
    <t>031</t>
  </si>
  <si>
    <t>032</t>
  </si>
  <si>
    <t>033</t>
  </si>
  <si>
    <t>034</t>
  </si>
  <si>
    <t>SOLICITADO</t>
  </si>
  <si>
    <t>AUTORIZADO</t>
  </si>
  <si>
    <t>041</t>
  </si>
  <si>
    <t>042</t>
  </si>
  <si>
    <t>RECIBIDO POR</t>
  </si>
  <si>
    <t>Campo destinado para Dpto. de Compras</t>
  </si>
  <si>
    <t>043</t>
  </si>
  <si>
    <t>044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</si>
  <si>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</si>
  <si>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</si>
  <si>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</si>
  <si>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</si>
  <si>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</si>
  <si>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</si>
  <si>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</si>
  <si>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</si>
  <si>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1. Hiladoras</t>
  </si>
  <si>
    <t>2. Enconadoras</t>
  </si>
  <si>
    <t>3. Retorcedora</t>
  </si>
  <si>
    <t>4. Urdido</t>
  </si>
  <si>
    <t>5. Engomado</t>
  </si>
  <si>
    <t>6. Telares</t>
  </si>
  <si>
    <t>7. Revisión-Tundidora</t>
  </si>
  <si>
    <t>051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</si>
  <si>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</si>
  <si>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</si>
  <si>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</si>
  <si>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</si>
  <si>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</si>
  <si>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</si>
  <si>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</si>
  <si>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8. Enfoque</t>
  </si>
  <si>
    <t>9. Estampado</t>
  </si>
  <si>
    <t>10. Tintorería</t>
  </si>
  <si>
    <t>12. Acabado</t>
  </si>
  <si>
    <t>13. Piola 36</t>
  </si>
  <si>
    <t>14.  Piola48 (Madeja)</t>
  </si>
  <si>
    <t>052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</si>
  <si>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</si>
  <si>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</si>
  <si>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</si>
  <si>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</si>
  <si>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</si>
  <si>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</si>
  <si>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</si>
  <si>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</si>
  <si>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15. Mtto. (Rep)</t>
  </si>
  <si>
    <t>16. Diseño</t>
  </si>
  <si>
    <t>17. Segur.Industrial</t>
  </si>
  <si>
    <t>18. Gest Hum.</t>
  </si>
  <si>
    <t>19. Admo</t>
  </si>
  <si>
    <t>20. Calidad-Control de Calidad</t>
  </si>
  <si>
    <t>053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</si>
  <si>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</si>
  <si>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</si>
  <si>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</si>
  <si>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</si>
  <si>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</si>
  <si>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</si>
  <si>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</si>
  <si>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</si>
  <si>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054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</si>
  <si>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</si>
  <si>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</si>
  <si>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</si>
  <si>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</si>
  <si>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</si>
  <si>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</si>
  <si>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</si>
  <si>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</si>
  <si>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055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</si>
  <si>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</si>
  <si>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</si>
  <si>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</si>
  <si>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</si>
  <si>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</si>
  <si>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</si>
  <si>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056</t>
  </si>
  <si>
    <t>FP 139</t>
  </si>
  <si>
    <t>VER 01  02/2011</t>
  </si>
  <si>
    <t>VER 01 12/2010</t>
  </si>
  <si>
    <t>057</t>
  </si>
  <si>
    <t>058</t>
  </si>
  <si>
    <t>061</t>
  </si>
  <si>
    <t>062</t>
  </si>
  <si>
    <t>063</t>
  </si>
  <si>
    <t>GRUPO</t>
  </si>
  <si>
    <t>SECCIÓN</t>
  </si>
  <si>
    <t>CeCo</t>
  </si>
  <si>
    <t>064</t>
  </si>
  <si>
    <t>01</t>
  </si>
  <si>
    <t>HILANDERIA</t>
  </si>
  <si>
    <t>HILADORA</t>
  </si>
  <si>
    <t>071</t>
  </si>
  <si>
    <t>ENCONADORA</t>
  </si>
  <si>
    <t>072</t>
  </si>
  <si>
    <t>RETORCEDORA</t>
  </si>
  <si>
    <t>081</t>
  </si>
  <si>
    <t>MTO HILADORA</t>
  </si>
  <si>
    <t>082</t>
  </si>
  <si>
    <t>MTO ENCONADORA</t>
  </si>
  <si>
    <t>083</t>
  </si>
  <si>
    <t>MTO RETORCEDORA</t>
  </si>
  <si>
    <t>084</t>
  </si>
  <si>
    <t>02</t>
  </si>
  <si>
    <t>TEJEDURIA</t>
  </si>
  <si>
    <t>URDIDO</t>
  </si>
  <si>
    <t>085</t>
  </si>
  <si>
    <t>ENGOMADO</t>
  </si>
  <si>
    <t>086</t>
  </si>
  <si>
    <t>TEJEDURÍA</t>
  </si>
  <si>
    <t>087</t>
  </si>
  <si>
    <t>REVISIÓN-TUNDIDO</t>
  </si>
  <si>
    <t>091</t>
  </si>
  <si>
    <t>MTO URDIDO</t>
  </si>
  <si>
    <t>092</t>
  </si>
  <si>
    <t>MTO ENGOMADO</t>
  </si>
  <si>
    <t>093</t>
  </si>
  <si>
    <t>MTO TEJEDURÍA</t>
  </si>
  <si>
    <t>MTO REVISIÓN-TUNDIDO</t>
  </si>
  <si>
    <t>03</t>
  </si>
  <si>
    <t>ENFOQUE</t>
  </si>
  <si>
    <t>MTO ENFOQUE</t>
  </si>
  <si>
    <t>MTO ESTAMPADO</t>
  </si>
  <si>
    <t>04</t>
  </si>
  <si>
    <t>TINTORERIA</t>
  </si>
  <si>
    <t>TINTORERIA HILAZAS</t>
  </si>
  <si>
    <t>TINTORERIA TELAS</t>
  </si>
  <si>
    <t>MTO TINTORERIA HILAZAS</t>
  </si>
  <si>
    <t>MTO TINTORERIA TELAS</t>
  </si>
  <si>
    <t>05</t>
  </si>
  <si>
    <t>ACABADO</t>
  </si>
  <si>
    <t>PIOLAS</t>
  </si>
  <si>
    <t>CONFECCIÓN HAMACAS</t>
  </si>
  <si>
    <t>CONFECCIÓN TOALLAS</t>
  </si>
  <si>
    <t>CONFECCIÓN SOBRECAMAS</t>
  </si>
  <si>
    <t>MTO PIOLAS</t>
  </si>
  <si>
    <t>MTO CONFECCIÓN HAMACAS</t>
  </si>
  <si>
    <t>MTO CONFECCIÓN TOALLAS</t>
  </si>
  <si>
    <t>MTO CONFECCIÓN SOBRECAMAS</t>
  </si>
  <si>
    <t>06</t>
  </si>
  <si>
    <t>DISEÑO</t>
  </si>
  <si>
    <t>BORDADO</t>
  </si>
  <si>
    <t>MTO DISEÑO</t>
  </si>
  <si>
    <t>MTO BORDADORA</t>
  </si>
  <si>
    <t>07</t>
  </si>
  <si>
    <t>SEGURIDAD INDUSTRIAL</t>
  </si>
  <si>
    <t>INFRAESTRUCTURA</t>
  </si>
  <si>
    <t>S&amp;SO</t>
  </si>
  <si>
    <t>08</t>
  </si>
  <si>
    <t>ADMINISTRATIVO</t>
  </si>
  <si>
    <t>ADMINISTRACIÓN</t>
  </si>
  <si>
    <t>CALIDAD</t>
  </si>
  <si>
    <t>CARTERA</t>
  </si>
  <si>
    <t>COMPRAS</t>
  </si>
  <si>
    <t>CONTABILIDAD</t>
  </si>
  <si>
    <t>GESTIÓN HUMANA</t>
  </si>
  <si>
    <t>VENTAS</t>
  </si>
  <si>
    <t>09</t>
  </si>
  <si>
    <t>EQUIPOS DE OSMOSIS</t>
  </si>
  <si>
    <t>CALDERAS</t>
  </si>
  <si>
    <t>COMPRESORES</t>
  </si>
  <si>
    <t>EQUIPO DE ÓSMOSIS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</si>
  <si>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</si>
  <si>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</si>
  <si>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</si>
  <si>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</si>
  <si>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</si>
  <si>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</si>
  <si>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</si>
  <si>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</si>
  <si>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</si>
  <si>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</si>
  <si>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</si>
  <si>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</si>
  <si>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</si>
  <si>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</si>
  <si>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</si>
  <si>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</si>
  <si>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</si>
  <si>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</si>
  <si>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</si>
  <si>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</si>
  <si>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</si>
  <si>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</si>
  <si>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</si>
  <si>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</si>
  <si>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</si>
  <si>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</si>
  <si>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</si>
  <si>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</si>
  <si>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</si>
  <si>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</si>
  <si>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</si>
  <si>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</si>
  <si>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</si>
  <si>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</si>
  <si>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</si>
  <si>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</si>
  <si>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</si>
  <si>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</si>
  <si>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 xml:space="preserve"> </t>
  </si>
  <si>
    <t xml:space="preserve">ORIOMCROM RED AID                                   </t>
  </si>
  <si>
    <t>CARBONATO</t>
  </si>
  <si>
    <t>REACTIVO</t>
  </si>
  <si>
    <t xml:space="preserve">CONCENTRATEMCP                               </t>
  </si>
  <si>
    <t>PIGMENTO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</si>
</sst>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3">
    <font>
      <sz val="11"/>
      <color indexed="8"/>
      <name val="Calibri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6"/>
      <color indexed="8"/>
      <name val="Tahoma"/>
      <family val="2"/>
    </font>
    <font>
      <b/>
      <sz val="12"/>
      <color indexed="8"/>
      <name val="Tahoma"/>
      <family val="2"/>
    </font>
    <font>
      <sz val="11"/>
      <color indexed="9"/>
      <name val="Calibri"/>
      <family val="2"/>
    </font>
    <font>
      <i/>
      <sz val="8"/>
      <color indexed="8"/>
      <name val="Tahoma"/>
      <family val="2"/>
    </font>
    <font>
      <b/>
      <sz val="9"/>
      <color indexed="8"/>
      <name val="Tahoma"/>
      <family val="2"/>
    </font>
    <font>
      <i/>
      <sz val="13"/>
      <color indexed="10"/>
      <name val="Calibri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b/>
      <u/>
      <sz val="10"/>
      <color indexed="8"/>
      <name val="Tahoma"/>
      <family val="2"/>
    </font>
    <font>
      <sz val="7"/>
      <color indexed="8"/>
      <name val="Tahoma"/>
      <family val="2"/>
    </font>
    <font>
      <b/>
      <i/>
      <sz val="8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b/>
      <sz val="11"/>
      <color indexed="9"/>
      <name val="Calibri"/>
      <family val="2"/>
    </font>
    <font>
      <i/>
      <sz val="8"/>
      <color indexed="10"/>
      <name val="Calibri"/>
      <family val="2"/>
    </font>
    <font>
      <sz val="8"/>
      <color indexed="8"/>
      <name val="Verdana"/>
      <family val="2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56"/>
        <bgColor indexed="62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</fills>
  <borders count="3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1">
    <xf numFmtId="0" fontId="0" fillId="0" borderId="0" xfId="0"/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>
      <alignment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49" fontId="8" fillId="0" borderId="15" xfId="0" applyNumberFormat="1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16" xfId="0" applyNumberFormat="1" applyFont="1" applyBorder="1" applyAlignment="1" applyProtection="1">
      <alignment horizontal="center" vertical="center" wrapText="1"/>
      <protection locked="0"/>
    </xf>
    <xf numFmtId="14" fontId="10" fillId="0" borderId="16" xfId="0" applyNumberFormat="1" applyFont="1" applyBorder="1" applyAlignment="1" applyProtection="1">
      <alignment horizontal="center" vertical="center" wrapText="1"/>
      <protection locked="0"/>
    </xf>
    <xf numFmtId="0" fontId="11" fillId="0" borderId="17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49" fontId="3" fillId="0" borderId="15" xfId="0" applyNumberFormat="1" applyFont="1" applyBorder="1" applyAlignment="1" applyProtection="1">
      <alignment horizontal="center" vertical="center" wrapText="1"/>
      <protection locked="0"/>
    </xf>
    <xf numFmtId="49" fontId="12" fillId="0" borderId="15" xfId="0" applyNumberFormat="1" applyFont="1" applyBorder="1" applyAlignment="1" applyProtection="1">
      <alignment horizontal="center" vertical="center" wrapText="1"/>
      <protection locked="0"/>
    </xf>
    <xf numFmtId="1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3" fillId="0" borderId="19" xfId="0" applyNumberFormat="1" applyFont="1" applyBorder="1" applyAlignment="1" applyProtection="1">
      <alignment horizontal="center" vertical="center" wrapText="1"/>
      <protection locked="0"/>
    </xf>
    <xf numFmtId="2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" fillId="0" borderId="4" xfId="0" applyNumberFormat="1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49" fontId="1" fillId="0" borderId="20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49" fontId="13" fillId="0" borderId="22" xfId="0" applyNumberFormat="1" applyFont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49" fontId="13" fillId="0" borderId="19" xfId="0" applyNumberFormat="1" applyFont="1" applyBorder="1" applyAlignment="1">
      <alignment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5" fillId="0" borderId="17" xfId="0" applyFont="1" applyBorder="1" applyAlignment="1">
      <alignment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vertical="center" wrapText="1"/>
    </xf>
    <xf numFmtId="0" fontId="1" fillId="0" borderId="19" xfId="0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left" vertical="center" wrapText="1"/>
    </xf>
    <xf numFmtId="0" fontId="16" fillId="0" borderId="6" xfId="0" applyFont="1" applyBorder="1" applyAlignment="1">
      <alignment vertical="center" wrapText="1"/>
    </xf>
    <xf numFmtId="49" fontId="16" fillId="0" borderId="26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Border="1" applyAlignment="1">
      <alignment horizontal="left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49" fontId="0" fillId="0" borderId="17" xfId="0" applyNumberFormat="1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7" xfId="0" applyFont="1" applyBorder="1" applyAlignment="1">
      <alignment vertical="center" wrapText="1"/>
    </xf>
    <xf numFmtId="49" fontId="0" fillId="0" borderId="17" xfId="0" applyNumberFormat="1" applyFont="1" applyBorder="1" applyAlignment="1">
      <alignment vertical="center" wrapText="1"/>
    </xf>
    <xf numFmtId="16" fontId="3" fillId="0" borderId="16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left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14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6" fillId="0" borderId="27" xfId="0" applyNumberFormat="1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left" vertical="center" wrapText="1"/>
    </xf>
    <xf numFmtId="0" fontId="16" fillId="0" borderId="27" xfId="0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center" vertical="center" wrapText="1"/>
    </xf>
    <xf numFmtId="0" fontId="10" fillId="0" borderId="27" xfId="0" applyFont="1" applyBorder="1" applyAlignment="1">
      <alignment vertical="center" wrapText="1"/>
    </xf>
    <xf numFmtId="0" fontId="10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vertical="center" wrapText="1"/>
    </xf>
    <xf numFmtId="0" fontId="16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horizontal="center" vertical="center" wrapText="1"/>
    </xf>
    <xf numFmtId="49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NumberFormat="1" applyFont="1" applyBorder="1" applyAlignment="1" applyProtection="1">
      <alignment horizontal="center" vertical="center" wrapText="1"/>
      <protection locked="0"/>
    </xf>
    <xf numFmtId="16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3" fillId="0" borderId="27" xfId="0" applyNumberFormat="1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3" fillId="0" borderId="27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left" vertical="center" wrapText="1"/>
    </xf>
    <xf numFmtId="0" fontId="19" fillId="3" borderId="27" xfId="0" applyFont="1" applyFill="1" applyBorder="1" applyAlignment="1" applyProtection="1">
      <alignment horizontal="left" vertical="center"/>
    </xf>
    <xf numFmtId="0" fontId="22" fillId="5" borderId="27" xfId="0" applyFont="1" applyFill="1" applyBorder="1" applyAlignment="1">
      <alignment horizontal="center" vertical="center"/>
    </xf>
    <xf numFmtId="164" fontId="22" fillId="5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21" fillId="4" borderId="33" xfId="0" applyFont="1" applyFill="1" applyBorder="1" applyAlignment="1" applyProtection="1">
      <alignment horizontal="center" vertical="center" wrapText="1"/>
      <protection locked="0"/>
    </xf>
    <xf numFmtId="49" fontId="13" fillId="0" borderId="32" xfId="0" applyNumberFormat="1" applyFont="1" applyBorder="1" applyAlignment="1">
      <alignment vertical="center" wrapText="1"/>
    </xf>
    <xf numFmtId="164" fontId="22" fillId="5" borderId="33" xfId="0" applyNumberFormat="1" applyFont="1" applyFill="1" applyBorder="1" applyAlignment="1">
      <alignment horizontal="center" vertical="center"/>
    </xf>
    <xf numFmtId="0" fontId="16" fillId="0" borderId="33" xfId="0" applyFont="1" applyBorder="1" applyAlignment="1">
      <alignment vertical="center" wrapText="1"/>
    </xf>
    <xf numFmtId="49" fontId="16" fillId="0" borderId="34" xfId="0" applyNumberFormat="1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vertical="center" wrapText="1"/>
      <protection locked="0"/>
    </xf>
    <xf numFmtId="164" fontId="22" fillId="5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21" fillId="4" borderId="32" xfId="0" applyFont="1" applyFill="1" applyBorder="1" applyAlignment="1" applyProtection="1">
      <alignment horizontal="center" vertical="center" wrapText="1"/>
      <protection locked="0"/>
    </xf>
    <xf numFmtId="0" fontId="21" fillId="4" borderId="33" xfId="0" applyFont="1" applyFill="1" applyBorder="1" applyAlignment="1" applyProtection="1">
      <alignment horizontal="center" vertical="center" wrapText="1"/>
      <protection locked="0"/>
    </xf>
    <xf numFmtId="0" fontId="21" fillId="4" borderId="34" xfId="0" applyFont="1" applyFill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center" vertical="center" wrapText="1"/>
    </xf>
    <xf numFmtId="0" fontId="3" fillId="0" borderId="29" xfId="0" applyFont="1" applyBorder="1" applyAlignment="1" applyProtection="1">
      <alignment horizontal="center" vertical="center" wrapText="1"/>
      <protection locked="0"/>
    </xf>
    <xf numFmtId="0" fontId="4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 wrapText="1"/>
    </xf>
    <xf numFmtId="14" fontId="7" fillId="0" borderId="7" xfId="0" applyNumberFormat="1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8" fillId="0" borderId="31" xfId="0" applyFont="1" applyFill="1" applyBorder="1" applyAlignment="1">
      <alignment horizontal="left" vertical="center" wrapText="1"/>
    </xf>
    <xf numFmtId="49" fontId="9" fillId="0" borderId="28" xfId="0" applyNumberFormat="1" applyFont="1" applyBorder="1" applyAlignment="1" applyProtection="1">
      <alignment horizontal="center" vertical="center" wrapText="1"/>
      <protection locked="0"/>
    </xf>
    <xf numFmtId="0" fontId="3" fillId="0" borderId="13" xfId="0" applyFont="1" applyFill="1" applyBorder="1" applyAlignment="1">
      <alignment horizontal="center" vertical="center" wrapText="1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</xf>
    <xf numFmtId="0" fontId="14" fillId="0" borderId="0" xfId="0" applyNumberFormat="1" applyFont="1" applyBorder="1" applyAlignment="1" applyProtection="1">
      <alignment horizontal="center" vertical="center" wrapText="1"/>
      <protection locked="0"/>
    </xf>
    <xf numFmtId="0" fontId="21" fillId="4" borderId="32" xfId="0" applyFont="1" applyFill="1" applyBorder="1" applyAlignment="1" applyProtection="1">
      <alignment horizontal="center" vertical="center" wrapText="1"/>
      <protection locked="0"/>
    </xf>
    <xf numFmtId="0" fontId="21" fillId="4" borderId="33" xfId="0" applyFont="1" applyFill="1" applyBorder="1" applyAlignment="1" applyProtection="1">
      <alignment horizontal="center" vertical="center" wrapText="1"/>
      <protection locked="0"/>
    </xf>
    <xf numFmtId="0" fontId="21" fillId="4" borderId="34" xfId="0" applyFont="1" applyFill="1" applyBorder="1" applyAlignment="1" applyProtection="1">
      <alignment horizontal="center" vertical="center" wrapText="1"/>
      <protection locked="0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left" vertical="center" wrapText="1"/>
    </xf>
    <xf numFmtId="14" fontId="16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49" fontId="20" fillId="0" borderId="27" xfId="0" applyNumberFormat="1" applyFont="1" applyBorder="1" applyAlignment="1" applyProtection="1">
      <alignment horizontal="center" vertical="center" wrapText="1"/>
      <protection locked="0"/>
    </xf>
    <xf numFmtId="49" fontId="18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left" vertical="center" wrapText="1"/>
    </xf>
    <xf numFmtId="1" fontId="22" fillId="5" borderId="27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809625</xdr:colOff>
      <xdr:row>1</xdr:row>
      <xdr:rowOff>247650</xdr:rowOff>
    </xdr:to>
    <xdr:pic>
      <xdr:nvPicPr>
        <xdr:cNvPr id="106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762125" cy="59055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ORMATOS%20ACTUALIZADOS%202026/SALIDA%20INSUMOS/ABRIL/ABRIL%2024%20Y%2027%20SALIDAS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  <sheetName val="Hoja3"/>
      <sheetName val="Hoja4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1"/>
  <sheetViews>
    <sheetView showGridLines="0" zoomScale="70" zoomScaleNormal="70" zoomScalePageLayoutView="60" workbookViewId="0">
      <selection activeCell="C1" sqref="A1:H30"/>
    </sheetView>
  </sheetViews>
  <sheetFormatPr baseColWidth="10" defaultRowHeight="12.75"/>
  <cols>
    <col min="1" max="1" width="14.28515625" style="1" customWidth="1"/>
    <col min="2" max="2" width="13.85546875" style="2" customWidth="1"/>
    <col min="3" max="3" width="12.28515625" style="2" customWidth="1"/>
    <col min="4" max="4" width="13.140625" style="2" customWidth="1"/>
    <col min="5" max="5" width="12.85546875" style="2" customWidth="1"/>
    <col min="6" max="6" width="13.28515625" style="2" customWidth="1"/>
    <col min="7" max="7" width="10.28515625" style="2" customWidth="1"/>
    <col min="8" max="8" width="12.85546875" style="3" customWidth="1"/>
    <col min="9" max="17" width="0" style="2" hidden="1" customWidth="1"/>
    <col min="18" max="18" width="1.28515625" style="2" customWidth="1"/>
    <col min="19" max="21" width="11.42578125" style="2"/>
    <col min="22" max="22" width="4.42578125" style="4" customWidth="1"/>
    <col min="23" max="16384" width="11.42578125" style="2"/>
  </cols>
  <sheetData>
    <row r="1" spans="1:22" ht="27" customHeight="1">
      <c r="A1" s="5"/>
      <c r="B1" s="6"/>
      <c r="C1" s="124" t="s">
        <v>0</v>
      </c>
      <c r="D1" s="124"/>
      <c r="E1" s="124"/>
      <c r="F1" s="124"/>
      <c r="G1" s="124"/>
      <c r="H1" s="124"/>
      <c r="J1" s="7"/>
      <c r="K1" s="6"/>
      <c r="L1" s="8" t="s">
        <v>1</v>
      </c>
      <c r="M1" s="8"/>
      <c r="N1" s="8"/>
      <c r="O1" s="8"/>
      <c r="P1" s="8"/>
      <c r="Q1" s="8"/>
      <c r="V1" s="9" t="s">
        <v>2</v>
      </c>
    </row>
    <row r="2" spans="1:22" ht="27.75" customHeight="1">
      <c r="A2" s="10"/>
      <c r="B2" s="11"/>
      <c r="C2" s="124"/>
      <c r="D2" s="124"/>
      <c r="E2" s="124"/>
      <c r="F2" s="124"/>
      <c r="G2" s="124"/>
      <c r="H2" s="124"/>
      <c r="J2" s="12"/>
      <c r="K2" s="13"/>
      <c r="L2" s="8"/>
      <c r="M2" s="8"/>
      <c r="N2" s="8"/>
      <c r="O2" s="8"/>
      <c r="P2" s="8"/>
      <c r="Q2" s="8"/>
      <c r="V2" s="9" t="s">
        <v>3</v>
      </c>
    </row>
    <row r="3" spans="1:22" ht="18" customHeight="1">
      <c r="A3" s="125" t="s">
        <v>4</v>
      </c>
      <c r="B3" s="125"/>
      <c r="C3" s="126"/>
      <c r="D3" s="126"/>
      <c r="E3" s="14" t="s">
        <v>5</v>
      </c>
      <c r="F3" s="14"/>
      <c r="G3" s="15"/>
      <c r="H3" s="15"/>
      <c r="J3" s="16" t="s">
        <v>4</v>
      </c>
      <c r="K3" s="17"/>
      <c r="L3" s="18"/>
      <c r="M3" s="19"/>
      <c r="N3" s="20" t="s">
        <v>6</v>
      </c>
      <c r="O3" s="20"/>
      <c r="P3" s="20"/>
      <c r="Q3" s="20"/>
      <c r="V3" s="9" t="s">
        <v>7</v>
      </c>
    </row>
    <row r="4" spans="1:22" ht="18" customHeight="1">
      <c r="A4" s="125" t="s">
        <v>8</v>
      </c>
      <c r="B4" s="125"/>
      <c r="C4" s="127"/>
      <c r="D4" s="127"/>
      <c r="E4" s="21"/>
      <c r="F4" s="22"/>
      <c r="G4" s="22"/>
      <c r="H4" s="23"/>
      <c r="J4" s="7"/>
      <c r="K4" s="18"/>
      <c r="L4" s="18"/>
      <c r="M4" s="6"/>
      <c r="N4" s="24"/>
      <c r="O4" s="24"/>
      <c r="P4" s="24"/>
      <c r="Q4" s="25"/>
      <c r="V4" s="9" t="s">
        <v>10</v>
      </c>
    </row>
    <row r="5" spans="1:22" ht="15" customHeight="1">
      <c r="A5" s="128" t="s">
        <v>11</v>
      </c>
      <c r="B5" s="128"/>
      <c r="C5" s="128"/>
      <c r="D5" s="128"/>
      <c r="E5" s="128"/>
      <c r="F5" s="128"/>
      <c r="G5" s="128"/>
      <c r="H5" s="128"/>
      <c r="J5" s="26" t="s">
        <v>12</v>
      </c>
      <c r="K5" s="26"/>
      <c r="L5" s="26"/>
      <c r="M5" s="26"/>
      <c r="N5" s="26"/>
      <c r="O5" s="26"/>
      <c r="P5" s="26"/>
      <c r="Q5" s="26"/>
      <c r="V5" s="9" t="s">
        <v>13</v>
      </c>
    </row>
    <row r="6" spans="1:22" ht="14.85" customHeight="1">
      <c r="A6" s="129"/>
      <c r="B6" s="129"/>
      <c r="C6" s="129"/>
      <c r="D6" s="129"/>
      <c r="E6" s="129"/>
      <c r="F6" s="129"/>
      <c r="G6" s="129"/>
      <c r="H6" s="129"/>
      <c r="J6" s="26"/>
      <c r="K6" s="26"/>
      <c r="L6" s="26"/>
      <c r="M6" s="26"/>
      <c r="N6" s="26"/>
      <c r="O6" s="26"/>
      <c r="P6" s="26"/>
      <c r="Q6" s="26"/>
      <c r="V6" s="9" t="s">
        <v>14</v>
      </c>
    </row>
    <row r="7" spans="1:22" ht="15">
      <c r="A7" s="129"/>
      <c r="B7" s="129"/>
      <c r="C7" s="129"/>
      <c r="D7" s="129"/>
      <c r="E7" s="129"/>
      <c r="F7" s="129"/>
      <c r="G7" s="129"/>
      <c r="H7" s="129"/>
      <c r="J7" s="26"/>
      <c r="K7" s="26"/>
      <c r="L7" s="26"/>
      <c r="M7" s="26"/>
      <c r="N7" s="26"/>
      <c r="O7" s="26"/>
      <c r="P7" s="26"/>
      <c r="Q7" s="26"/>
      <c r="V7" s="9" t="s">
        <v>15</v>
      </c>
    </row>
    <row r="8" spans="1:22" ht="15">
      <c r="A8" s="129"/>
      <c r="B8" s="129"/>
      <c r="C8" s="129"/>
      <c r="D8" s="129"/>
      <c r="E8" s="129"/>
      <c r="F8" s="129"/>
      <c r="G8" s="129"/>
      <c r="H8" s="129"/>
      <c r="J8" s="26"/>
      <c r="K8" s="26"/>
      <c r="L8" s="26"/>
      <c r="M8" s="26"/>
      <c r="N8" s="26"/>
      <c r="O8" s="26"/>
      <c r="P8" s="26"/>
      <c r="Q8" s="26"/>
      <c r="V8" s="9" t="s">
        <v>16</v>
      </c>
    </row>
    <row r="9" spans="1:22" s="32" customFormat="1" ht="26.25" customHeight="1">
      <c r="A9" s="27" t="s">
        <v>17</v>
      </c>
      <c r="B9" s="130" t="s">
        <v>18</v>
      </c>
      <c r="C9" s="130"/>
      <c r="D9" s="130"/>
      <c r="E9" s="29" t="s">
        <v>19</v>
      </c>
      <c r="F9" s="29" t="s">
        <v>20</v>
      </c>
      <c r="G9" s="30" t="s">
        <v>21</v>
      </c>
      <c r="H9" s="31" t="s">
        <v>22</v>
      </c>
      <c r="J9" s="33" t="s">
        <v>17</v>
      </c>
      <c r="K9" s="28" t="s">
        <v>18</v>
      </c>
      <c r="L9" s="28"/>
      <c r="M9" s="28"/>
      <c r="N9" s="29" t="s">
        <v>19</v>
      </c>
      <c r="O9" s="29" t="s">
        <v>20</v>
      </c>
      <c r="P9" s="30" t="s">
        <v>23</v>
      </c>
      <c r="Q9" s="30" t="s">
        <v>22</v>
      </c>
      <c r="V9" s="9" t="s">
        <v>24</v>
      </c>
    </row>
    <row r="10" spans="1:22" ht="23.25" customHeight="1">
      <c r="A10" s="34"/>
      <c r="B10" s="131"/>
      <c r="C10" s="131"/>
      <c r="D10" s="131"/>
      <c r="E10" s="36"/>
      <c r="F10" s="35"/>
      <c r="G10" s="37"/>
      <c r="H10" s="38"/>
      <c r="J10" s="39"/>
      <c r="K10" s="40"/>
      <c r="L10" s="40"/>
      <c r="M10" s="40"/>
      <c r="N10" s="41"/>
      <c r="O10" s="41"/>
      <c r="P10" s="41"/>
      <c r="Q10" s="42"/>
      <c r="V10" s="9" t="s">
        <v>26</v>
      </c>
    </row>
    <row r="11" spans="1:22" ht="21.75" customHeight="1">
      <c r="A11" s="43"/>
      <c r="B11" s="131"/>
      <c r="C11" s="131"/>
      <c r="D11" s="131"/>
      <c r="E11" s="36"/>
      <c r="F11" s="82"/>
      <c r="G11" s="37"/>
      <c r="H11" s="38"/>
      <c r="J11" s="39"/>
      <c r="K11" s="40"/>
      <c r="L11" s="40"/>
      <c r="M11" s="40"/>
      <c r="N11" s="41"/>
      <c r="O11" s="41"/>
      <c r="P11" s="41"/>
      <c r="Q11" s="42"/>
      <c r="V11" s="9" t="s">
        <v>27</v>
      </c>
    </row>
    <row r="12" spans="1:22" ht="20.25" customHeight="1">
      <c r="A12" s="44"/>
      <c r="B12" s="131"/>
      <c r="C12" s="131"/>
      <c r="D12" s="131"/>
      <c r="E12" s="45"/>
      <c r="F12" s="35"/>
      <c r="G12" s="37"/>
      <c r="H12" s="38"/>
      <c r="J12" s="39"/>
      <c r="K12" s="40"/>
      <c r="L12" s="40"/>
      <c r="M12" s="40"/>
      <c r="N12" s="41"/>
      <c r="O12" s="41"/>
      <c r="P12" s="41"/>
      <c r="Q12" s="42"/>
      <c r="V12" s="9" t="s">
        <v>28</v>
      </c>
    </row>
    <row r="13" spans="1:22" ht="20.25" customHeight="1">
      <c r="A13" s="43"/>
      <c r="B13" s="123"/>
      <c r="C13" s="123"/>
      <c r="D13" s="123"/>
      <c r="E13" s="45"/>
      <c r="F13" s="35"/>
      <c r="G13" s="37"/>
      <c r="H13" s="38"/>
      <c r="I13" s="38"/>
      <c r="J13" s="39"/>
      <c r="K13" s="40"/>
      <c r="L13" s="40"/>
      <c r="M13" s="40"/>
      <c r="N13" s="41"/>
      <c r="O13" s="41"/>
      <c r="P13" s="41"/>
      <c r="Q13" s="42"/>
      <c r="V13" s="9" t="s">
        <v>29</v>
      </c>
    </row>
    <row r="14" spans="1:22" ht="21.75" customHeight="1">
      <c r="A14" s="43"/>
      <c r="B14" s="131"/>
      <c r="C14" s="131"/>
      <c r="D14" s="131"/>
      <c r="E14" s="45"/>
      <c r="F14" s="36"/>
      <c r="G14" s="37"/>
      <c r="H14" s="38"/>
      <c r="I14" s="46"/>
      <c r="J14" s="39"/>
      <c r="K14" s="40"/>
      <c r="L14" s="40"/>
      <c r="M14" s="40"/>
      <c r="N14" s="41"/>
      <c r="O14" s="41"/>
      <c r="P14" s="41"/>
      <c r="Q14" s="42"/>
      <c r="V14" s="9" t="s">
        <v>30</v>
      </c>
    </row>
    <row r="15" spans="1:22" ht="21" customHeight="1">
      <c r="A15" s="43"/>
      <c r="B15" s="131"/>
      <c r="C15" s="131"/>
      <c r="D15" s="131"/>
      <c r="E15" s="45"/>
      <c r="F15" s="36"/>
      <c r="G15" s="37"/>
      <c r="H15" s="38"/>
      <c r="I15" s="46"/>
      <c r="J15" s="39"/>
      <c r="K15" s="40"/>
      <c r="L15" s="40"/>
      <c r="M15" s="40"/>
      <c r="N15" s="41"/>
      <c r="O15" s="41"/>
      <c r="P15" s="41"/>
      <c r="Q15" s="42"/>
      <c r="V15" s="9"/>
    </row>
    <row r="16" spans="1:22" ht="24.75" customHeight="1">
      <c r="A16" s="43"/>
      <c r="B16" s="131"/>
      <c r="C16" s="131"/>
      <c r="D16" s="131"/>
      <c r="E16" s="47"/>
      <c r="F16" s="35"/>
      <c r="G16" s="37"/>
      <c r="H16" s="38"/>
      <c r="I16" s="46"/>
      <c r="J16" s="39"/>
      <c r="K16" s="40"/>
      <c r="L16" s="40"/>
      <c r="M16" s="40"/>
      <c r="N16" s="41"/>
      <c r="O16" s="41"/>
      <c r="P16" s="41"/>
      <c r="Q16" s="42"/>
      <c r="V16" s="9" t="s">
        <v>31</v>
      </c>
    </row>
    <row r="17" spans="1:22" ht="24" customHeight="1">
      <c r="A17" s="43"/>
      <c r="B17" s="131"/>
      <c r="C17" s="131"/>
      <c r="D17" s="131"/>
      <c r="E17" s="47"/>
      <c r="F17" s="35"/>
      <c r="G17" s="37"/>
      <c r="H17" s="38"/>
      <c r="I17" s="46"/>
      <c r="J17" s="39"/>
      <c r="K17" s="40"/>
      <c r="L17" s="40"/>
      <c r="M17" s="40"/>
      <c r="N17" s="41"/>
      <c r="O17" s="41"/>
      <c r="P17" s="41"/>
      <c r="Q17" s="42"/>
      <c r="V17" s="9" t="s">
        <v>32</v>
      </c>
    </row>
    <row r="18" spans="1:22" ht="22.5" customHeight="1">
      <c r="A18" s="43"/>
      <c r="B18" s="131"/>
      <c r="C18" s="131"/>
      <c r="D18" s="131"/>
      <c r="E18" s="47"/>
      <c r="F18" s="35"/>
      <c r="G18" s="37"/>
      <c r="H18" s="38"/>
      <c r="I18" s="46"/>
      <c r="J18" s="39"/>
      <c r="K18" s="40"/>
      <c r="L18" s="40"/>
      <c r="M18" s="40"/>
      <c r="N18" s="41"/>
      <c r="O18" s="41"/>
      <c r="P18" s="41"/>
      <c r="Q18" s="42"/>
      <c r="V18" s="9" t="s">
        <v>33</v>
      </c>
    </row>
    <row r="19" spans="1:22" ht="15">
      <c r="A19" s="48"/>
      <c r="B19" s="49"/>
      <c r="C19" s="49"/>
      <c r="D19" s="49"/>
      <c r="E19" s="49"/>
      <c r="F19" s="49"/>
      <c r="G19" s="49"/>
      <c r="H19" s="50"/>
      <c r="J19" s="51"/>
      <c r="K19" s="49"/>
      <c r="L19" s="49"/>
      <c r="M19" s="49"/>
      <c r="N19" s="49"/>
      <c r="O19" s="49"/>
      <c r="P19" s="49"/>
      <c r="Q19" s="52"/>
      <c r="V19" s="9" t="s">
        <v>34</v>
      </c>
    </row>
    <row r="20" spans="1:22" ht="21" customHeight="1">
      <c r="A20" s="48" t="s">
        <v>35</v>
      </c>
      <c r="B20" s="134"/>
      <c r="C20" s="134"/>
      <c r="D20" s="134"/>
      <c r="E20" s="53" t="s">
        <v>36</v>
      </c>
      <c r="F20" s="132"/>
      <c r="G20" s="132"/>
      <c r="H20" s="132"/>
      <c r="J20" s="51" t="s">
        <v>35</v>
      </c>
      <c r="K20" s="49"/>
      <c r="L20" s="49"/>
      <c r="M20" s="49"/>
      <c r="N20" s="53" t="s">
        <v>36</v>
      </c>
      <c r="O20" s="49"/>
      <c r="P20" s="49"/>
      <c r="Q20" s="52"/>
      <c r="V20" s="9" t="s">
        <v>37</v>
      </c>
    </row>
    <row r="21" spans="1:22" ht="14.25" customHeight="1">
      <c r="A21" s="48"/>
      <c r="B21" s="49"/>
      <c r="C21" s="49"/>
      <c r="D21" s="49"/>
      <c r="E21" s="53"/>
      <c r="F21" s="49"/>
      <c r="G21" s="49"/>
      <c r="H21" s="50"/>
      <c r="J21" s="51"/>
      <c r="K21" s="49"/>
      <c r="L21" s="49"/>
      <c r="M21" s="49"/>
      <c r="N21" s="53"/>
      <c r="O21" s="49"/>
      <c r="P21" s="49"/>
      <c r="Q21" s="52"/>
      <c r="V21" s="9" t="s">
        <v>38</v>
      </c>
    </row>
    <row r="22" spans="1:22" ht="29.25" customHeight="1">
      <c r="A22" s="48" t="s">
        <v>39</v>
      </c>
      <c r="B22" s="133" t="s">
        <v>40</v>
      </c>
      <c r="C22" s="133"/>
      <c r="D22" s="133"/>
      <c r="E22" s="49"/>
      <c r="F22" s="49"/>
      <c r="G22" s="49"/>
      <c r="H22" s="50"/>
      <c r="J22" s="51" t="s">
        <v>39</v>
      </c>
      <c r="K22" s="49"/>
      <c r="L22" s="49"/>
      <c r="M22" s="53"/>
      <c r="N22" s="49"/>
      <c r="O22" s="49"/>
      <c r="P22" s="49"/>
      <c r="Q22" s="52"/>
      <c r="V22" s="9" t="s">
        <v>41</v>
      </c>
    </row>
    <row r="23" spans="1:22" ht="11.25" customHeight="1">
      <c r="A23" s="54" t="s">
        <v>22</v>
      </c>
      <c r="B23" s="54"/>
      <c r="C23" s="54"/>
      <c r="D23" s="54"/>
      <c r="E23" s="54"/>
      <c r="F23" s="54"/>
      <c r="G23" s="54"/>
      <c r="H23" s="54"/>
      <c r="J23" s="55" t="s">
        <v>22</v>
      </c>
      <c r="K23" s="55"/>
      <c r="L23" s="55"/>
      <c r="M23" s="55"/>
      <c r="N23" s="55"/>
      <c r="O23" s="55"/>
      <c r="P23" s="55"/>
      <c r="Q23" s="55"/>
      <c r="V23" s="9" t="s">
        <v>42</v>
      </c>
    </row>
    <row r="24" spans="1:22" ht="21.75" customHeight="1">
      <c r="A24" s="56" t="s">
        <v>43</v>
      </c>
      <c r="B24" s="57" t="s">
        <v>44</v>
      </c>
      <c r="C24" s="57" t="s">
        <v>45</v>
      </c>
      <c r="D24" s="57" t="s">
        <v>46</v>
      </c>
      <c r="E24" s="57" t="s">
        <v>47</v>
      </c>
      <c r="F24" s="57" t="s">
        <v>48</v>
      </c>
      <c r="G24" s="57" t="s">
        <v>49</v>
      </c>
      <c r="H24" s="58" t="s">
        <v>50</v>
      </c>
      <c r="J24" s="59" t="s">
        <v>51</v>
      </c>
      <c r="K24" s="60" t="s">
        <v>52</v>
      </c>
      <c r="L24" s="60" t="s">
        <v>53</v>
      </c>
      <c r="M24" s="60" t="s">
        <v>54</v>
      </c>
      <c r="N24" s="60" t="s">
        <v>55</v>
      </c>
      <c r="O24" s="60" t="s">
        <v>56</v>
      </c>
      <c r="P24" s="61" t="s">
        <v>57</v>
      </c>
      <c r="Q24" s="61"/>
      <c r="V24" s="9" t="s">
        <v>58</v>
      </c>
    </row>
    <row r="25" spans="1:22" ht="21.75" customHeight="1">
      <c r="A25" s="56" t="s">
        <v>59</v>
      </c>
      <c r="B25" s="57" t="s">
        <v>60</v>
      </c>
      <c r="C25" s="57" t="s">
        <v>61</v>
      </c>
      <c r="D25" s="57" t="s">
        <v>62</v>
      </c>
      <c r="E25" s="57" t="s">
        <v>63</v>
      </c>
      <c r="F25" s="57" t="s">
        <v>64</v>
      </c>
      <c r="G25" s="57" t="s">
        <v>65</v>
      </c>
      <c r="H25" s="58" t="s">
        <v>25</v>
      </c>
      <c r="J25" s="59" t="s">
        <v>66</v>
      </c>
      <c r="K25" s="60" t="s">
        <v>67</v>
      </c>
      <c r="L25" s="60" t="s">
        <v>68</v>
      </c>
      <c r="M25" s="60" t="s">
        <v>69</v>
      </c>
      <c r="N25" s="60" t="s">
        <v>70</v>
      </c>
      <c r="O25" s="61" t="s">
        <v>71</v>
      </c>
      <c r="P25" s="61"/>
      <c r="Q25" s="61"/>
      <c r="V25" s="9" t="s">
        <v>72</v>
      </c>
    </row>
    <row r="26" spans="1:22" ht="21" customHeight="1">
      <c r="A26" s="56" t="s">
        <v>73</v>
      </c>
      <c r="B26" s="57" t="s">
        <v>74</v>
      </c>
      <c r="C26" s="62" t="s">
        <v>75</v>
      </c>
      <c r="D26" s="57" t="s">
        <v>76</v>
      </c>
      <c r="E26" s="57" t="s">
        <v>77</v>
      </c>
      <c r="F26" s="57" t="s">
        <v>78</v>
      </c>
      <c r="G26" s="57" t="s">
        <v>79</v>
      </c>
      <c r="H26" s="58" t="s">
        <v>80</v>
      </c>
      <c r="J26" s="63" t="s">
        <v>81</v>
      </c>
      <c r="K26" s="64" t="s">
        <v>82</v>
      </c>
      <c r="L26" s="64" t="s">
        <v>83</v>
      </c>
      <c r="M26" s="64" t="s">
        <v>84</v>
      </c>
      <c r="N26" s="64" t="s">
        <v>85</v>
      </c>
      <c r="O26" s="65" t="s">
        <v>86</v>
      </c>
      <c r="P26" s="65"/>
      <c r="Q26" s="66"/>
      <c r="V26" s="9" t="s">
        <v>87</v>
      </c>
    </row>
    <row r="27" spans="1:22" ht="18.75" customHeight="1">
      <c r="A27" s="56" t="s">
        <v>88</v>
      </c>
      <c r="B27" s="57" t="s">
        <v>89</v>
      </c>
      <c r="C27" s="57" t="s">
        <v>90</v>
      </c>
      <c r="D27" s="57" t="s">
        <v>91</v>
      </c>
      <c r="E27" s="57" t="s">
        <v>92</v>
      </c>
      <c r="F27" s="57" t="s">
        <v>93</v>
      </c>
      <c r="G27" s="57" t="s">
        <v>94</v>
      </c>
      <c r="H27" s="67" t="s">
        <v>95</v>
      </c>
      <c r="J27" s="68"/>
      <c r="K27" s="68"/>
      <c r="L27" s="68"/>
      <c r="M27" s="68"/>
      <c r="N27" s="68"/>
      <c r="O27" s="49"/>
      <c r="P27" s="49"/>
      <c r="Q27" s="49"/>
      <c r="V27" s="9" t="s">
        <v>96</v>
      </c>
    </row>
    <row r="28" spans="1:22" ht="15.75" customHeight="1">
      <c r="A28" s="56" t="s">
        <v>97</v>
      </c>
      <c r="B28" s="69" t="s">
        <v>98</v>
      </c>
      <c r="C28" s="57" t="s">
        <v>99</v>
      </c>
      <c r="D28" s="57" t="s">
        <v>100</v>
      </c>
      <c r="E28" s="57" t="s">
        <v>101</v>
      </c>
      <c r="F28" s="57" t="s">
        <v>102</v>
      </c>
      <c r="G28" s="57" t="s">
        <v>103</v>
      </c>
      <c r="H28" s="67" t="s">
        <v>104</v>
      </c>
      <c r="J28" s="68"/>
      <c r="K28" s="68"/>
      <c r="L28" s="68"/>
      <c r="M28" s="68"/>
      <c r="N28" s="68"/>
      <c r="O28" s="49"/>
      <c r="P28" s="49"/>
      <c r="Q28" s="49"/>
      <c r="V28" s="9" t="s">
        <v>105</v>
      </c>
    </row>
    <row r="29" spans="1:22" ht="20.25" customHeight="1">
      <c r="A29" s="56" t="s">
        <v>106</v>
      </c>
      <c r="B29" s="69" t="s">
        <v>107</v>
      </c>
      <c r="C29" s="57" t="s">
        <v>108</v>
      </c>
      <c r="D29" s="57" t="s">
        <v>109</v>
      </c>
      <c r="E29" s="57" t="s">
        <v>110</v>
      </c>
      <c r="F29" s="57" t="s">
        <v>111</v>
      </c>
      <c r="G29" s="70"/>
      <c r="H29" s="70"/>
      <c r="J29" s="68"/>
      <c r="K29" s="68"/>
      <c r="L29" s="68"/>
      <c r="M29" s="68"/>
      <c r="N29" s="68"/>
      <c r="O29" s="49"/>
      <c r="P29" s="49"/>
      <c r="Q29" s="49"/>
      <c r="V29" s="9" t="s">
        <v>112</v>
      </c>
    </row>
    <row r="30" spans="1:22" s="74" customFormat="1" ht="21">
      <c r="A30" s="71" t="s">
        <v>113</v>
      </c>
      <c r="B30" s="72"/>
      <c r="C30" s="72"/>
      <c r="D30" s="72"/>
      <c r="E30" s="72"/>
      <c r="F30" s="72"/>
      <c r="G30" s="72"/>
      <c r="H30" s="73" t="s">
        <v>114</v>
      </c>
      <c r="J30" s="75" t="s">
        <v>113</v>
      </c>
      <c r="Q30" s="74" t="s">
        <v>115</v>
      </c>
      <c r="V30" s="9" t="s">
        <v>116</v>
      </c>
    </row>
    <row r="31" spans="1:22" ht="15">
      <c r="V31" s="9" t="s">
        <v>117</v>
      </c>
    </row>
    <row r="32" spans="1:22" ht="11.25" customHeight="1">
      <c r="V32" s="9" t="s">
        <v>118</v>
      </c>
    </row>
    <row r="33" spans="1:22" ht="15" hidden="1">
      <c r="V33" s="9" t="s">
        <v>119</v>
      </c>
    </row>
    <row r="34" spans="1:22" ht="15" hidden="1">
      <c r="V34" s="9" t="s">
        <v>120</v>
      </c>
    </row>
    <row r="35" spans="1:22" ht="15" hidden="1">
      <c r="A35" s="76"/>
      <c r="B35" s="77" t="s">
        <v>121</v>
      </c>
      <c r="C35" s="77" t="s">
        <v>122</v>
      </c>
      <c r="D35" s="76" t="s">
        <v>123</v>
      </c>
      <c r="V35" s="9" t="s">
        <v>124</v>
      </c>
    </row>
    <row r="36" spans="1:22" ht="12.75" hidden="1" customHeight="1">
      <c r="A36" s="78" t="s">
        <v>125</v>
      </c>
      <c r="B36" s="79" t="s">
        <v>126</v>
      </c>
      <c r="C36" s="80" t="s">
        <v>127</v>
      </c>
      <c r="D36" s="81" t="s">
        <v>2</v>
      </c>
      <c r="V36" s="9" t="s">
        <v>128</v>
      </c>
    </row>
    <row r="37" spans="1:22" ht="12.75" hidden="1" customHeight="1">
      <c r="A37" s="78"/>
      <c r="B37" s="79"/>
      <c r="C37" s="80" t="s">
        <v>129</v>
      </c>
      <c r="D37" s="81" t="s">
        <v>3</v>
      </c>
      <c r="V37" s="9" t="s">
        <v>130</v>
      </c>
    </row>
    <row r="38" spans="1:22" ht="12.75" hidden="1" customHeight="1">
      <c r="A38" s="78"/>
      <c r="B38" s="79"/>
      <c r="C38" s="80" t="s">
        <v>131</v>
      </c>
      <c r="D38" s="81" t="s">
        <v>7</v>
      </c>
      <c r="V38" s="9" t="s">
        <v>132</v>
      </c>
    </row>
    <row r="39" spans="1:22" ht="12.75" hidden="1" customHeight="1">
      <c r="A39" s="78"/>
      <c r="B39" s="79"/>
      <c r="C39" s="80" t="s">
        <v>133</v>
      </c>
      <c r="D39" s="81" t="s">
        <v>10</v>
      </c>
      <c r="V39" s="9" t="s">
        <v>134</v>
      </c>
    </row>
    <row r="40" spans="1:22" ht="12.75" hidden="1" customHeight="1">
      <c r="A40" s="78"/>
      <c r="B40" s="79"/>
      <c r="C40" s="80" t="s">
        <v>135</v>
      </c>
      <c r="D40" s="81" t="s">
        <v>13</v>
      </c>
      <c r="V40" s="9" t="s">
        <v>136</v>
      </c>
    </row>
    <row r="41" spans="1:22" ht="12.75" hidden="1" customHeight="1">
      <c r="A41" s="78"/>
      <c r="B41" s="79"/>
      <c r="C41" s="80" t="s">
        <v>137</v>
      </c>
      <c r="D41" s="81" t="s">
        <v>14</v>
      </c>
      <c r="V41" s="9" t="s">
        <v>138</v>
      </c>
    </row>
    <row r="42" spans="1:22" ht="12.75" hidden="1" customHeight="1">
      <c r="A42" s="78" t="s">
        <v>139</v>
      </c>
      <c r="B42" s="79" t="s">
        <v>140</v>
      </c>
      <c r="C42" s="80" t="s">
        <v>141</v>
      </c>
      <c r="D42" s="81" t="s">
        <v>15</v>
      </c>
      <c r="V42" s="9" t="s">
        <v>142</v>
      </c>
    </row>
    <row r="43" spans="1:22" ht="12.75" hidden="1" customHeight="1">
      <c r="A43" s="78"/>
      <c r="B43" s="79"/>
      <c r="C43" s="80" t="s">
        <v>143</v>
      </c>
      <c r="D43" s="81" t="s">
        <v>16</v>
      </c>
      <c r="V43" s="9" t="s">
        <v>144</v>
      </c>
    </row>
    <row r="44" spans="1:22" ht="12.75" hidden="1" customHeight="1">
      <c r="A44" s="78"/>
      <c r="B44" s="79"/>
      <c r="C44" s="80" t="s">
        <v>145</v>
      </c>
      <c r="D44" s="81" t="s">
        <v>24</v>
      </c>
      <c r="V44" s="9" t="s">
        <v>146</v>
      </c>
    </row>
    <row r="45" spans="1:22" ht="12.75" hidden="1" customHeight="1">
      <c r="A45" s="78"/>
      <c r="B45" s="79"/>
      <c r="C45" s="80" t="s">
        <v>147</v>
      </c>
      <c r="D45" s="81" t="s">
        <v>26</v>
      </c>
      <c r="V45" s="9" t="s">
        <v>148</v>
      </c>
    </row>
    <row r="46" spans="1:22" ht="12.75" hidden="1" customHeight="1">
      <c r="A46" s="78"/>
      <c r="B46" s="79"/>
      <c r="C46" s="80" t="s">
        <v>149</v>
      </c>
      <c r="D46" s="81" t="s">
        <v>27</v>
      </c>
      <c r="V46" s="9" t="s">
        <v>150</v>
      </c>
    </row>
    <row r="47" spans="1:22" ht="12.75" hidden="1" customHeight="1">
      <c r="A47" s="78"/>
      <c r="B47" s="79"/>
      <c r="C47" s="80" t="s">
        <v>151</v>
      </c>
      <c r="D47" s="81" t="s">
        <v>28</v>
      </c>
      <c r="V47" s="9" t="s">
        <v>152</v>
      </c>
    </row>
    <row r="48" spans="1:22" ht="12.75" hidden="1" customHeight="1">
      <c r="A48" s="78"/>
      <c r="B48" s="79"/>
      <c r="C48" s="80" t="s">
        <v>153</v>
      </c>
      <c r="D48" s="81" t="s">
        <v>29</v>
      </c>
    </row>
    <row r="49" spans="1:4" ht="12.75" hidden="1" customHeight="1">
      <c r="A49" s="78"/>
      <c r="B49" s="79"/>
      <c r="C49" s="80" t="s">
        <v>154</v>
      </c>
      <c r="D49" s="81" t="s">
        <v>30</v>
      </c>
    </row>
    <row r="50" spans="1:4" ht="12.75" hidden="1" customHeight="1">
      <c r="A50" s="78" t="s">
        <v>155</v>
      </c>
      <c r="B50" s="79" t="s">
        <v>9</v>
      </c>
      <c r="C50" s="80" t="s">
        <v>156</v>
      </c>
      <c r="D50" s="81" t="s">
        <v>31</v>
      </c>
    </row>
    <row r="51" spans="1:4" ht="12.75" hidden="1" customHeight="1">
      <c r="A51" s="78"/>
      <c r="B51" s="79"/>
      <c r="C51" s="80" t="s">
        <v>9</v>
      </c>
      <c r="D51" s="81" t="s">
        <v>32</v>
      </c>
    </row>
    <row r="52" spans="1:4" ht="12.75" hidden="1" customHeight="1">
      <c r="A52" s="78"/>
      <c r="B52" s="79"/>
      <c r="C52" s="80" t="s">
        <v>157</v>
      </c>
      <c r="D52" s="81" t="s">
        <v>33</v>
      </c>
    </row>
    <row r="53" spans="1:4" ht="12.75" hidden="1" customHeight="1">
      <c r="A53" s="78"/>
      <c r="B53" s="79"/>
      <c r="C53" s="80" t="s">
        <v>158</v>
      </c>
      <c r="D53" s="81" t="s">
        <v>34</v>
      </c>
    </row>
    <row r="54" spans="1:4" ht="12.75" hidden="1" customHeight="1">
      <c r="A54" s="78" t="s">
        <v>159</v>
      </c>
      <c r="B54" s="79" t="s">
        <v>160</v>
      </c>
      <c r="C54" s="80" t="s">
        <v>161</v>
      </c>
      <c r="D54" s="81" t="s">
        <v>37</v>
      </c>
    </row>
    <row r="55" spans="1:4" ht="12.75" hidden="1" customHeight="1">
      <c r="A55" s="78"/>
      <c r="B55" s="79"/>
      <c r="C55" s="80" t="s">
        <v>162</v>
      </c>
      <c r="D55" s="81" t="s">
        <v>38</v>
      </c>
    </row>
    <row r="56" spans="1:4" ht="12.75" hidden="1" customHeight="1">
      <c r="A56" s="78"/>
      <c r="B56" s="79"/>
      <c r="C56" s="80" t="s">
        <v>163</v>
      </c>
      <c r="D56" s="81" t="s">
        <v>41</v>
      </c>
    </row>
    <row r="57" spans="1:4" ht="12.75" hidden="1" customHeight="1">
      <c r="A57" s="78"/>
      <c r="B57" s="79"/>
      <c r="C57" s="80" t="s">
        <v>164</v>
      </c>
      <c r="D57" s="81" t="s">
        <v>42</v>
      </c>
    </row>
    <row r="58" spans="1:4" ht="12.75" hidden="1" customHeight="1">
      <c r="A58" s="78" t="s">
        <v>165</v>
      </c>
      <c r="B58" s="79" t="s">
        <v>166</v>
      </c>
      <c r="C58" s="80" t="s">
        <v>167</v>
      </c>
      <c r="D58" s="81" t="s">
        <v>58</v>
      </c>
    </row>
    <row r="59" spans="1:4" ht="12.75" hidden="1" customHeight="1">
      <c r="A59" s="78"/>
      <c r="B59" s="79"/>
      <c r="C59" s="80" t="s">
        <v>168</v>
      </c>
      <c r="D59" s="81" t="s">
        <v>72</v>
      </c>
    </row>
    <row r="60" spans="1:4" ht="12.75" hidden="1" customHeight="1">
      <c r="A60" s="78"/>
      <c r="B60" s="79"/>
      <c r="C60" s="80" t="s">
        <v>169</v>
      </c>
      <c r="D60" s="81" t="s">
        <v>87</v>
      </c>
    </row>
    <row r="61" spans="1:4" ht="12.75" hidden="1" customHeight="1">
      <c r="A61" s="78"/>
      <c r="B61" s="79"/>
      <c r="C61" s="80" t="s">
        <v>170</v>
      </c>
      <c r="D61" s="81" t="s">
        <v>96</v>
      </c>
    </row>
    <row r="62" spans="1:4" ht="12.75" hidden="1" customHeight="1">
      <c r="A62" s="78"/>
      <c r="B62" s="79"/>
      <c r="C62" s="80" t="s">
        <v>171</v>
      </c>
      <c r="D62" s="81" t="s">
        <v>105</v>
      </c>
    </row>
    <row r="63" spans="1:4" ht="12.75" hidden="1" customHeight="1">
      <c r="A63" s="78"/>
      <c r="B63" s="79"/>
      <c r="C63" s="80" t="s">
        <v>172</v>
      </c>
      <c r="D63" s="81" t="s">
        <v>112</v>
      </c>
    </row>
    <row r="64" spans="1:4" ht="12.75" hidden="1" customHeight="1">
      <c r="A64" s="78"/>
      <c r="B64" s="79"/>
      <c r="C64" s="80" t="s">
        <v>173</v>
      </c>
      <c r="D64" s="81" t="s">
        <v>116</v>
      </c>
    </row>
    <row r="65" spans="1:4" ht="12.75" hidden="1" customHeight="1">
      <c r="A65" s="78"/>
      <c r="B65" s="79"/>
      <c r="C65" s="80" t="s">
        <v>174</v>
      </c>
      <c r="D65" s="81" t="s">
        <v>117</v>
      </c>
    </row>
    <row r="66" spans="1:4" ht="12.75" hidden="1" customHeight="1">
      <c r="A66" s="78" t="s">
        <v>175</v>
      </c>
      <c r="B66" s="79" t="s">
        <v>176</v>
      </c>
      <c r="C66" s="80" t="s">
        <v>176</v>
      </c>
      <c r="D66" s="81" t="s">
        <v>118</v>
      </c>
    </row>
    <row r="67" spans="1:4" ht="12.75" hidden="1" customHeight="1">
      <c r="A67" s="78"/>
      <c r="B67" s="79"/>
      <c r="C67" s="80" t="s">
        <v>177</v>
      </c>
      <c r="D67" s="81" t="s">
        <v>119</v>
      </c>
    </row>
    <row r="68" spans="1:4" ht="12.75" hidden="1" customHeight="1">
      <c r="A68" s="78"/>
      <c r="B68" s="79"/>
      <c r="C68" s="80" t="s">
        <v>178</v>
      </c>
      <c r="D68" s="81" t="s">
        <v>120</v>
      </c>
    </row>
    <row r="69" spans="1:4" ht="12.75" hidden="1" customHeight="1">
      <c r="A69" s="78"/>
      <c r="B69" s="79"/>
      <c r="C69" s="80" t="s">
        <v>179</v>
      </c>
      <c r="D69" s="81" t="s">
        <v>124</v>
      </c>
    </row>
    <row r="70" spans="1:4" ht="12.75" hidden="1" customHeight="1">
      <c r="A70" s="78" t="s">
        <v>180</v>
      </c>
      <c r="B70" s="79" t="s">
        <v>181</v>
      </c>
      <c r="C70" s="80" t="s">
        <v>182</v>
      </c>
      <c r="D70" s="81" t="s">
        <v>128</v>
      </c>
    </row>
    <row r="71" spans="1:4" ht="12.75" hidden="1" customHeight="1">
      <c r="A71" s="78"/>
      <c r="B71" s="79"/>
      <c r="C71" s="80" t="s">
        <v>183</v>
      </c>
      <c r="D71" s="81" t="s">
        <v>130</v>
      </c>
    </row>
    <row r="72" spans="1:4" ht="12.75" hidden="1" customHeight="1">
      <c r="A72" s="78" t="s">
        <v>184</v>
      </c>
      <c r="B72" s="79" t="s">
        <v>185</v>
      </c>
      <c r="C72" s="80" t="s">
        <v>186</v>
      </c>
      <c r="D72" s="81" t="s">
        <v>132</v>
      </c>
    </row>
    <row r="73" spans="1:4" ht="12.75" hidden="1" customHeight="1">
      <c r="A73" s="78"/>
      <c r="B73" s="79"/>
      <c r="C73" s="80" t="s">
        <v>187</v>
      </c>
      <c r="D73" s="81" t="s">
        <v>134</v>
      </c>
    </row>
    <row r="74" spans="1:4" ht="12.75" hidden="1" customHeight="1">
      <c r="A74" s="78"/>
      <c r="B74" s="79"/>
      <c r="C74" s="80" t="s">
        <v>188</v>
      </c>
      <c r="D74" s="81" t="s">
        <v>136</v>
      </c>
    </row>
    <row r="75" spans="1:4" ht="12.75" hidden="1" customHeight="1">
      <c r="A75" s="78"/>
      <c r="B75" s="79"/>
      <c r="C75" s="80" t="s">
        <v>189</v>
      </c>
      <c r="D75" s="81" t="s">
        <v>138</v>
      </c>
    </row>
    <row r="76" spans="1:4" ht="12.75" hidden="1" customHeight="1">
      <c r="A76" s="78"/>
      <c r="B76" s="79"/>
      <c r="C76" s="80" t="s">
        <v>190</v>
      </c>
      <c r="D76" s="81" t="s">
        <v>142</v>
      </c>
    </row>
    <row r="77" spans="1:4" ht="12.75" hidden="1" customHeight="1">
      <c r="A77" s="78"/>
      <c r="B77" s="79"/>
      <c r="C77" s="80" t="s">
        <v>191</v>
      </c>
      <c r="D77" s="81" t="s">
        <v>144</v>
      </c>
    </row>
    <row r="78" spans="1:4" ht="12.75" hidden="1" customHeight="1">
      <c r="A78" s="78"/>
      <c r="B78" s="79"/>
      <c r="C78" s="80" t="s">
        <v>192</v>
      </c>
      <c r="D78" s="81" t="s">
        <v>146</v>
      </c>
    </row>
    <row r="79" spans="1:4" ht="12.75" hidden="1" customHeight="1">
      <c r="A79" s="78" t="s">
        <v>193</v>
      </c>
      <c r="B79" s="79" t="s">
        <v>194</v>
      </c>
      <c r="C79" s="80" t="s">
        <v>195</v>
      </c>
      <c r="D79" s="81" t="s">
        <v>148</v>
      </c>
    </row>
    <row r="80" spans="1:4" ht="12.75" hidden="1" customHeight="1">
      <c r="A80" s="78"/>
      <c r="B80" s="79"/>
      <c r="C80" s="80" t="s">
        <v>196</v>
      </c>
      <c r="D80" s="81" t="s">
        <v>150</v>
      </c>
    </row>
    <row r="81" spans="1:4" ht="12.75" hidden="1" customHeight="1">
      <c r="A81" s="78"/>
      <c r="B81" s="79"/>
      <c r="C81" s="80" t="s">
        <v>197</v>
      </c>
      <c r="D81" s="81" t="s">
        <v>152</v>
      </c>
    </row>
  </sheetData>
  <sheetProtection selectLockedCells="1" selectUnlockedCells="1"/>
  <mergeCells count="20">
    <mergeCell ref="F20:H20"/>
    <mergeCell ref="B22:D22"/>
    <mergeCell ref="B14:D14"/>
    <mergeCell ref="B15:D15"/>
    <mergeCell ref="B16:D16"/>
    <mergeCell ref="B17:D17"/>
    <mergeCell ref="B18:D18"/>
    <mergeCell ref="B20:D20"/>
    <mergeCell ref="B13:D13"/>
    <mergeCell ref="C1:H2"/>
    <mergeCell ref="A3:B3"/>
    <mergeCell ref="C3:D3"/>
    <mergeCell ref="A4:B4"/>
    <mergeCell ref="C4:D4"/>
    <mergeCell ref="A5:H5"/>
    <mergeCell ref="A6:H8"/>
    <mergeCell ref="B9:D9"/>
    <mergeCell ref="B10:D10"/>
    <mergeCell ref="B11:D11"/>
    <mergeCell ref="B12:D12"/>
  </mergeCells>
  <printOptions horizontalCentered="1"/>
  <pageMargins left="0.11805555555555555" right="0.11805555555555555" top="0.15763888888888888" bottom="0.15763888888888888" header="0.51180555555555551" footer="0.51180555555555551"/>
  <pageSetup scale="60" firstPageNumber="0" orientation="portrait" horizontalDpi="300" verticalDpi="300" r:id="rId1"/>
  <headerFooter alignWithMargins="0"/>
  <rowBreaks count="1" manualBreakCount="1">
    <brk id="3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"/>
  <sheetViews>
    <sheetView tabSelected="1" zoomScale="90" zoomScaleNormal="90" workbookViewId="0">
      <selection activeCell="N22" sqref="N22"/>
    </sheetView>
  </sheetViews>
  <sheetFormatPr baseColWidth="10" defaultRowHeight="15" outlineLevelRow="1"/>
  <cols>
    <col min="1" max="1" width="10.42578125" customWidth="1"/>
    <col min="5" max="5" width="14.85546875" bestFit="1" customWidth="1"/>
    <col min="9" max="9" width="5.5703125" customWidth="1"/>
    <col min="14" max="14" width="16.42578125" bestFit="1" customWidth="1"/>
    <col min="19" max="19" width="25.7109375" customWidth="1"/>
  </cols>
  <sheetData>
    <row r="1" spans="1:17" outlineLevel="1">
      <c r="A1" s="86"/>
      <c r="B1" s="90"/>
      <c r="C1" s="142" t="s">
        <v>0</v>
      </c>
      <c r="D1" s="142"/>
      <c r="E1" s="142"/>
      <c r="F1" s="142"/>
      <c r="G1" s="142"/>
      <c r="H1" s="142"/>
      <c r="J1" s="86"/>
      <c r="K1" s="90"/>
      <c r="L1" s="142" t="s">
        <v>0</v>
      </c>
      <c r="M1" s="142"/>
      <c r="N1" s="142"/>
      <c r="O1" s="142"/>
      <c r="P1" s="142"/>
      <c r="Q1" s="142"/>
    </row>
    <row r="2" spans="1:17" outlineLevel="1">
      <c r="A2" s="92"/>
      <c r="B2" s="90"/>
      <c r="C2" s="142"/>
      <c r="D2" s="142"/>
      <c r="E2" s="142"/>
      <c r="F2" s="142"/>
      <c r="G2" s="142"/>
      <c r="H2" s="142"/>
      <c r="J2" s="92"/>
      <c r="K2" s="90"/>
      <c r="L2" s="142"/>
      <c r="M2" s="142"/>
      <c r="N2" s="142"/>
      <c r="O2" s="142"/>
      <c r="P2" s="142"/>
      <c r="Q2" s="142"/>
    </row>
    <row r="3" spans="1:17" outlineLevel="1">
      <c r="A3" s="143" t="s">
        <v>4</v>
      </c>
      <c r="B3" s="143"/>
      <c r="C3" s="144">
        <v>46182</v>
      </c>
      <c r="D3" s="144"/>
      <c r="E3" s="103" t="s">
        <v>5</v>
      </c>
      <c r="F3" s="83"/>
      <c r="G3" s="93"/>
      <c r="H3" s="93"/>
      <c r="J3" s="143" t="s">
        <v>4</v>
      </c>
      <c r="K3" s="143"/>
      <c r="L3" s="144">
        <v>46184</v>
      </c>
      <c r="M3" s="144"/>
      <c r="N3" s="103" t="s">
        <v>5</v>
      </c>
      <c r="O3" s="83"/>
      <c r="P3" s="93"/>
      <c r="Q3" s="93"/>
    </row>
    <row r="4" spans="1:17" outlineLevel="1">
      <c r="A4" s="143" t="s">
        <v>8</v>
      </c>
      <c r="B4" s="143"/>
      <c r="C4" s="145" t="s">
        <v>9</v>
      </c>
      <c r="D4" s="145"/>
      <c r="E4" s="84"/>
      <c r="F4" s="88"/>
      <c r="G4" s="88"/>
      <c r="H4" s="89"/>
      <c r="J4" s="143" t="s">
        <v>8</v>
      </c>
      <c r="K4" s="143"/>
      <c r="L4" s="145" t="s">
        <v>9</v>
      </c>
      <c r="M4" s="145"/>
      <c r="N4" s="84"/>
      <c r="O4" s="88"/>
      <c r="P4" s="88"/>
      <c r="Q4" s="89"/>
    </row>
    <row r="5" spans="1:17" outlineLevel="1">
      <c r="A5" s="149" t="s">
        <v>11</v>
      </c>
      <c r="B5" s="149"/>
      <c r="C5" s="149"/>
      <c r="D5" s="149"/>
      <c r="E5" s="149"/>
      <c r="F5" s="149"/>
      <c r="G5" s="149"/>
      <c r="H5" s="149"/>
      <c r="J5" s="149" t="s">
        <v>11</v>
      </c>
      <c r="K5" s="149"/>
      <c r="L5" s="149"/>
      <c r="M5" s="149"/>
      <c r="N5" s="149"/>
      <c r="O5" s="149"/>
      <c r="P5" s="149"/>
      <c r="Q5" s="149"/>
    </row>
    <row r="6" spans="1:17" ht="15" customHeight="1" outlineLevel="1">
      <c r="A6" s="146" t="s">
        <v>241</v>
      </c>
      <c r="B6" s="147"/>
      <c r="C6" s="147"/>
      <c r="D6" s="147"/>
      <c r="E6" s="147"/>
      <c r="F6" s="147"/>
      <c r="G6" s="147"/>
      <c r="H6" s="147"/>
      <c r="I6" t="s">
        <v>236</v>
      </c>
      <c r="J6" s="146" t="s">
        <v>239</v>
      </c>
      <c r="K6" s="147"/>
      <c r="L6" s="147"/>
      <c r="M6" s="147"/>
      <c r="N6" s="147"/>
      <c r="O6" s="147"/>
      <c r="P6" s="147"/>
      <c r="Q6" s="147"/>
    </row>
    <row r="7" spans="1:17" outlineLevel="1">
      <c r="A7" s="147"/>
      <c r="B7" s="147"/>
      <c r="C7" s="147"/>
      <c r="D7" s="147"/>
      <c r="E7" s="147"/>
      <c r="F7" s="147"/>
      <c r="G7" s="147"/>
      <c r="H7" s="147"/>
      <c r="J7" s="147"/>
      <c r="K7" s="147"/>
      <c r="L7" s="147"/>
      <c r="M7" s="147"/>
      <c r="N7" s="147"/>
      <c r="O7" s="147"/>
      <c r="P7" s="147"/>
      <c r="Q7" s="147"/>
    </row>
    <row r="8" spans="1:17" outlineLevel="1">
      <c r="A8" s="147"/>
      <c r="B8" s="147"/>
      <c r="C8" s="147"/>
      <c r="D8" s="147"/>
      <c r="E8" s="147"/>
      <c r="F8" s="147"/>
      <c r="G8" s="147"/>
      <c r="H8" s="147"/>
      <c r="J8" s="147"/>
      <c r="K8" s="147"/>
      <c r="L8" s="147"/>
      <c r="M8" s="147"/>
      <c r="N8" s="147"/>
      <c r="O8" s="147"/>
      <c r="P8" s="147"/>
      <c r="Q8" s="147"/>
    </row>
    <row r="9" spans="1:17" ht="21" outlineLevel="1">
      <c r="A9" s="94" t="s">
        <v>17</v>
      </c>
      <c r="B9" s="148" t="s">
        <v>18</v>
      </c>
      <c r="C9" s="148"/>
      <c r="D9" s="148"/>
      <c r="E9" s="91" t="s">
        <v>235</v>
      </c>
      <c r="F9" s="91" t="s">
        <v>20</v>
      </c>
      <c r="G9" s="91" t="s">
        <v>21</v>
      </c>
      <c r="H9" s="94" t="s">
        <v>22</v>
      </c>
      <c r="J9" s="94" t="s">
        <v>17</v>
      </c>
      <c r="K9" s="148" t="s">
        <v>18</v>
      </c>
      <c r="L9" s="148"/>
      <c r="M9" s="148"/>
      <c r="N9" s="91" t="s">
        <v>235</v>
      </c>
      <c r="O9" s="91" t="s">
        <v>20</v>
      </c>
      <c r="P9" s="91" t="s">
        <v>21</v>
      </c>
      <c r="Q9" s="94" t="s">
        <v>22</v>
      </c>
    </row>
    <row r="10" spans="1:17" ht="15" customHeight="1" outlineLevel="1">
      <c r="A10" s="94"/>
      <c r="B10" s="135" t="s">
        <v>201</v>
      </c>
      <c r="C10" s="136"/>
      <c r="D10" s="137"/>
      <c r="E10" s="150">
        <f>(114+68)</f>
        <v>182</v>
      </c>
      <c r="F10" s="107"/>
      <c r="G10" s="107"/>
      <c r="H10" s="94"/>
      <c r="I10" t="s">
        <v>236</v>
      </c>
      <c r="J10" s="94"/>
      <c r="K10" s="135" t="s">
        <v>207</v>
      </c>
      <c r="L10" s="136"/>
      <c r="M10" s="137"/>
      <c r="N10" s="150">
        <v>1310</v>
      </c>
      <c r="O10" s="107"/>
      <c r="P10" s="107"/>
      <c r="Q10" s="94"/>
    </row>
    <row r="11" spans="1:17" ht="15" customHeight="1" outlineLevel="1">
      <c r="A11" s="94"/>
      <c r="B11" s="135" t="s">
        <v>227</v>
      </c>
      <c r="C11" s="136"/>
      <c r="D11" s="137"/>
      <c r="E11" s="105">
        <f>(2+200)</f>
        <v>202</v>
      </c>
      <c r="F11" s="108"/>
      <c r="G11" s="108"/>
      <c r="H11" s="94"/>
      <c r="J11" s="94"/>
      <c r="K11" s="135" t="s">
        <v>223</v>
      </c>
      <c r="L11" s="136"/>
      <c r="M11" s="137"/>
      <c r="N11" s="105">
        <f>(71)</f>
        <v>71</v>
      </c>
      <c r="O11" s="108"/>
      <c r="P11" s="108"/>
      <c r="Q11" s="94"/>
    </row>
    <row r="12" spans="1:17" ht="15" customHeight="1" outlineLevel="1">
      <c r="A12" s="95"/>
      <c r="B12" s="135" t="s">
        <v>233</v>
      </c>
      <c r="C12" s="136"/>
      <c r="D12" s="137"/>
      <c r="E12" s="105">
        <f>(149)</f>
        <v>149</v>
      </c>
      <c r="F12" s="98"/>
      <c r="G12" s="85"/>
      <c r="H12" s="91"/>
      <c r="J12" s="95"/>
      <c r="K12" s="135" t="s">
        <v>222</v>
      </c>
      <c r="L12" s="136"/>
      <c r="M12" s="137"/>
      <c r="N12" s="105">
        <f>(119)</f>
        <v>119</v>
      </c>
      <c r="O12" s="98"/>
      <c r="P12" s="85"/>
      <c r="Q12" s="91"/>
    </row>
    <row r="13" spans="1:17" ht="15" customHeight="1" outlineLevel="1">
      <c r="A13" s="95"/>
      <c r="B13" s="135" t="s">
        <v>212</v>
      </c>
      <c r="C13" s="136"/>
      <c r="D13" s="137"/>
      <c r="E13" s="115">
        <f>(20)</f>
        <v>20</v>
      </c>
      <c r="F13" s="98"/>
      <c r="G13" s="85"/>
      <c r="H13" s="116"/>
      <c r="J13" s="95"/>
      <c r="K13" s="135" t="s">
        <v>221</v>
      </c>
      <c r="L13" s="136"/>
      <c r="M13" s="137"/>
      <c r="N13" s="105">
        <f>(656)</f>
        <v>656</v>
      </c>
      <c r="O13" s="98"/>
      <c r="P13" s="85"/>
      <c r="Q13" s="116"/>
    </row>
    <row r="14" spans="1:17" ht="15" customHeight="1" outlineLevel="1">
      <c r="A14" s="95"/>
      <c r="B14" s="135" t="s">
        <v>220</v>
      </c>
      <c r="C14" s="136"/>
      <c r="D14" s="137"/>
      <c r="E14" s="115">
        <f>(2.3)</f>
        <v>2.2999999999999998</v>
      </c>
      <c r="F14" s="98"/>
      <c r="G14" s="85"/>
      <c r="H14" s="118"/>
      <c r="J14" s="95"/>
      <c r="K14" s="135" t="s">
        <v>228</v>
      </c>
      <c r="L14" s="136"/>
      <c r="M14" s="137"/>
      <c r="N14" s="105">
        <f>(800)</f>
        <v>800</v>
      </c>
      <c r="O14" s="98"/>
      <c r="P14" s="85"/>
      <c r="Q14" s="118"/>
    </row>
    <row r="15" spans="1:17" ht="15" customHeight="1" outlineLevel="1">
      <c r="A15" s="95"/>
      <c r="B15" s="119"/>
      <c r="C15" s="120"/>
      <c r="D15" s="121"/>
      <c r="E15" s="115"/>
      <c r="F15" s="98"/>
      <c r="G15" s="85"/>
      <c r="H15" s="122"/>
      <c r="J15" s="95"/>
      <c r="K15" s="135" t="s">
        <v>225</v>
      </c>
      <c r="L15" s="136"/>
      <c r="M15" s="137"/>
      <c r="N15" s="105">
        <f>(336+680+1128)</f>
        <v>2144</v>
      </c>
      <c r="O15" s="98"/>
      <c r="P15" s="85"/>
      <c r="Q15" s="122"/>
    </row>
    <row r="16" spans="1:17" ht="15" customHeight="1" outlineLevel="1">
      <c r="A16" s="95"/>
      <c r="B16" s="135"/>
      <c r="C16" s="136"/>
      <c r="D16" s="137"/>
      <c r="E16" s="105"/>
      <c r="F16" s="98"/>
      <c r="G16" s="85"/>
      <c r="H16" s="117"/>
      <c r="J16" s="95"/>
      <c r="K16" s="135" t="s">
        <v>224</v>
      </c>
      <c r="L16" s="136"/>
      <c r="M16" s="137"/>
      <c r="N16" s="105">
        <f>(1020+144)</f>
        <v>1164</v>
      </c>
      <c r="O16" s="98"/>
      <c r="P16" s="85"/>
      <c r="Q16" s="117"/>
    </row>
    <row r="17" spans="1:17" ht="15" customHeight="1" outlineLevel="1">
      <c r="A17" s="95"/>
      <c r="B17" s="135"/>
      <c r="C17" s="136"/>
      <c r="D17" s="137"/>
      <c r="E17" s="105"/>
      <c r="F17" s="98"/>
      <c r="G17" s="85"/>
      <c r="H17" s="117"/>
      <c r="J17" s="95"/>
      <c r="K17" s="135" t="s">
        <v>232</v>
      </c>
      <c r="L17" s="136"/>
      <c r="M17" s="137"/>
      <c r="N17" s="115">
        <v>54</v>
      </c>
      <c r="O17" s="98"/>
      <c r="P17" s="85"/>
      <c r="Q17" s="117"/>
    </row>
    <row r="18" spans="1:17" ht="15" customHeight="1" outlineLevel="1">
      <c r="A18" s="95"/>
      <c r="B18" s="135"/>
      <c r="C18" s="136"/>
      <c r="D18" s="137"/>
      <c r="E18" s="105"/>
      <c r="F18" s="98"/>
      <c r="G18" s="85"/>
      <c r="H18" s="91"/>
      <c r="J18" s="95"/>
      <c r="K18" s="135" t="s">
        <v>202</v>
      </c>
      <c r="L18" s="136"/>
      <c r="M18" s="137"/>
      <c r="N18" s="115">
        <v>6</v>
      </c>
      <c r="O18" s="98"/>
      <c r="P18" s="85"/>
      <c r="Q18" s="91"/>
    </row>
    <row r="19" spans="1:17" ht="15" customHeight="1" outlineLevel="1">
      <c r="A19" s="95"/>
      <c r="B19" s="135"/>
      <c r="C19" s="136"/>
      <c r="D19" s="137"/>
      <c r="E19" s="105"/>
      <c r="F19" s="96"/>
      <c r="G19" s="85"/>
      <c r="H19" s="91"/>
      <c r="J19" s="95"/>
      <c r="K19" s="135" t="s">
        <v>209</v>
      </c>
      <c r="L19" s="136"/>
      <c r="M19" s="137"/>
      <c r="N19" s="115">
        <v>21</v>
      </c>
      <c r="O19" s="96"/>
      <c r="P19" s="85"/>
      <c r="Q19" s="91"/>
    </row>
    <row r="20" spans="1:17" ht="15" customHeight="1" outlineLevel="1">
      <c r="A20" s="95"/>
      <c r="B20" s="135"/>
      <c r="C20" s="136"/>
      <c r="D20" s="137"/>
      <c r="E20" s="115"/>
      <c r="F20" s="97"/>
      <c r="G20" s="97"/>
      <c r="H20" s="91"/>
      <c r="J20" s="95"/>
      <c r="K20" s="135" t="s">
        <v>240</v>
      </c>
      <c r="L20" s="136"/>
      <c r="M20" s="137"/>
      <c r="N20" s="115">
        <v>28</v>
      </c>
      <c r="O20" s="115"/>
      <c r="P20" s="85"/>
      <c r="Q20" s="91"/>
    </row>
    <row r="21" spans="1:17" ht="15" customHeight="1" outlineLevel="1">
      <c r="A21" s="95"/>
      <c r="B21" s="135"/>
      <c r="C21" s="136"/>
      <c r="D21" s="137"/>
      <c r="E21" s="115"/>
      <c r="F21" s="97"/>
      <c r="G21" s="97"/>
      <c r="H21" s="91"/>
      <c r="J21" s="95"/>
      <c r="K21" s="135"/>
      <c r="L21" s="136"/>
      <c r="M21" s="137"/>
      <c r="N21" s="115"/>
      <c r="O21" s="97"/>
      <c r="P21" s="85"/>
      <c r="Q21" s="91"/>
    </row>
    <row r="22" spans="1:17" ht="15" customHeight="1" outlineLevel="1">
      <c r="A22" s="95"/>
      <c r="B22" s="135"/>
      <c r="C22" s="136"/>
      <c r="D22" s="137"/>
      <c r="E22" s="115"/>
      <c r="F22" s="96"/>
      <c r="G22" s="85"/>
      <c r="H22" s="91"/>
      <c r="J22" s="95"/>
      <c r="K22" s="135"/>
      <c r="L22" s="136"/>
      <c r="M22" s="137"/>
      <c r="N22" s="115"/>
      <c r="O22" s="96"/>
      <c r="P22" s="85" t="s">
        <v>236</v>
      </c>
      <c r="Q22" s="91"/>
    </row>
    <row r="23" spans="1:17" ht="15" customHeight="1" outlineLevel="1">
      <c r="A23" s="95"/>
      <c r="B23" s="135"/>
      <c r="C23" s="136"/>
      <c r="D23" s="137"/>
      <c r="E23" s="115"/>
      <c r="F23" s="96"/>
      <c r="G23" s="85"/>
      <c r="H23" s="91"/>
      <c r="J23" s="95"/>
      <c r="K23" s="135"/>
      <c r="L23" s="136"/>
      <c r="M23" s="137"/>
      <c r="N23" s="115"/>
      <c r="O23" s="96"/>
      <c r="P23" s="85"/>
      <c r="Q23" s="91"/>
    </row>
    <row r="24" spans="1:17" ht="15" customHeight="1" outlineLevel="1">
      <c r="A24" s="95"/>
      <c r="B24" s="135"/>
      <c r="C24" s="136"/>
      <c r="D24" s="137"/>
      <c r="E24" s="115"/>
      <c r="F24" s="96"/>
      <c r="G24" s="85"/>
      <c r="H24" s="91"/>
      <c r="J24" s="95"/>
      <c r="K24" s="135"/>
      <c r="L24" s="136"/>
      <c r="M24" s="137"/>
      <c r="N24" s="115"/>
      <c r="O24" s="96"/>
      <c r="P24" s="85"/>
      <c r="Q24" s="91"/>
    </row>
    <row r="25" spans="1:17" ht="15" customHeight="1" outlineLevel="1">
      <c r="A25" s="86"/>
      <c r="B25" s="135"/>
      <c r="C25" s="136"/>
      <c r="D25" s="137"/>
      <c r="E25" s="150"/>
      <c r="F25" s="88"/>
      <c r="G25" s="88"/>
      <c r="H25" s="89"/>
      <c r="J25" s="86"/>
      <c r="K25" s="135"/>
      <c r="L25" s="136"/>
      <c r="M25" s="137"/>
      <c r="N25" s="115"/>
      <c r="O25" s="88"/>
      <c r="P25" s="88"/>
      <c r="Q25" s="89"/>
    </row>
    <row r="26" spans="1:17" ht="15" customHeight="1" outlineLevel="1">
      <c r="A26" s="99" t="s">
        <v>35</v>
      </c>
      <c r="B26" s="135"/>
      <c r="C26" s="136"/>
      <c r="D26" s="137"/>
      <c r="E26" s="106"/>
      <c r="F26" s="114"/>
      <c r="G26" s="114"/>
      <c r="H26" s="114"/>
      <c r="J26" s="99" t="s">
        <v>35</v>
      </c>
      <c r="K26" s="135"/>
      <c r="L26" s="136"/>
      <c r="M26" s="137"/>
      <c r="N26" s="115"/>
      <c r="O26" s="141"/>
      <c r="P26" s="141"/>
      <c r="Q26" s="141"/>
    </row>
    <row r="27" spans="1:17" outlineLevel="1">
      <c r="A27" s="86"/>
      <c r="B27" s="135"/>
      <c r="C27" s="136"/>
      <c r="D27" s="137"/>
      <c r="E27" s="106"/>
      <c r="F27" s="88"/>
      <c r="G27" s="88"/>
      <c r="H27" s="89"/>
      <c r="J27" s="86"/>
      <c r="K27" s="135"/>
      <c r="L27" s="136"/>
      <c r="M27" s="137"/>
      <c r="N27" s="115"/>
      <c r="O27" s="88"/>
      <c r="P27" s="88"/>
      <c r="Q27" s="89"/>
    </row>
    <row r="28" spans="1:17" ht="18" outlineLevel="1">
      <c r="A28" s="99" t="s">
        <v>39</v>
      </c>
      <c r="B28" s="135"/>
      <c r="C28" s="136"/>
      <c r="D28" s="137"/>
      <c r="E28" s="106"/>
      <c r="F28" s="88"/>
      <c r="G28" s="88"/>
      <c r="H28" s="89"/>
      <c r="J28" s="99" t="s">
        <v>39</v>
      </c>
      <c r="K28" s="135"/>
      <c r="L28" s="136"/>
      <c r="M28" s="137"/>
      <c r="N28" s="115"/>
      <c r="O28" s="88"/>
      <c r="P28" s="88"/>
      <c r="Q28" s="89"/>
    </row>
    <row r="29" spans="1:17" ht="15" customHeight="1" outlineLevel="1">
      <c r="A29" s="99"/>
      <c r="B29" s="135"/>
      <c r="C29" s="136"/>
      <c r="D29" s="137"/>
      <c r="E29" s="106"/>
      <c r="F29" s="88"/>
      <c r="G29" s="88"/>
      <c r="H29" s="89"/>
      <c r="J29" s="110"/>
      <c r="K29" s="109"/>
      <c r="L29" s="109"/>
      <c r="M29" s="109"/>
      <c r="N29" s="111"/>
      <c r="O29" s="112"/>
      <c r="P29" s="112"/>
      <c r="Q29" s="113"/>
    </row>
    <row r="30" spans="1:17" ht="16.5" customHeight="1" outlineLevel="1">
      <c r="A30" s="138" t="s">
        <v>22</v>
      </c>
      <c r="B30" s="139"/>
      <c r="C30" s="139"/>
      <c r="D30" s="139"/>
      <c r="E30" s="139"/>
      <c r="F30" s="139"/>
      <c r="G30" s="139"/>
      <c r="H30" s="140"/>
      <c r="J30" s="138" t="s">
        <v>22</v>
      </c>
      <c r="K30" s="139"/>
      <c r="L30" s="139"/>
      <c r="M30" s="139"/>
      <c r="N30" s="139"/>
      <c r="O30" s="139"/>
      <c r="P30" s="139"/>
      <c r="Q30" s="140"/>
    </row>
    <row r="31" spans="1:17" ht="18" outlineLevel="1">
      <c r="A31" s="99" t="s">
        <v>43</v>
      </c>
      <c r="B31" s="100" t="s">
        <v>44</v>
      </c>
      <c r="C31" s="100" t="s">
        <v>45</v>
      </c>
      <c r="D31" s="100" t="s">
        <v>46</v>
      </c>
      <c r="E31" s="100" t="s">
        <v>47</v>
      </c>
      <c r="F31" s="100" t="s">
        <v>48</v>
      </c>
      <c r="G31" s="100" t="s">
        <v>49</v>
      </c>
      <c r="H31" s="99" t="s">
        <v>50</v>
      </c>
      <c r="J31" s="99" t="s">
        <v>43</v>
      </c>
      <c r="K31" s="100" t="s">
        <v>44</v>
      </c>
      <c r="L31" s="100" t="s">
        <v>45</v>
      </c>
      <c r="M31" s="100" t="s">
        <v>46</v>
      </c>
      <c r="N31" s="100" t="s">
        <v>47</v>
      </c>
      <c r="O31" s="100" t="s">
        <v>48</v>
      </c>
      <c r="P31" s="100" t="s">
        <v>49</v>
      </c>
      <c r="Q31" s="99" t="s">
        <v>50</v>
      </c>
    </row>
    <row r="32" spans="1:17" ht="18" outlineLevel="1">
      <c r="A32" s="99" t="s">
        <v>59</v>
      </c>
      <c r="B32" s="100" t="s">
        <v>60</v>
      </c>
      <c r="C32" s="100" t="s">
        <v>61</v>
      </c>
      <c r="D32" s="100" t="s">
        <v>62</v>
      </c>
      <c r="E32" s="100" t="s">
        <v>63</v>
      </c>
      <c r="F32" s="100" t="s">
        <v>64</v>
      </c>
      <c r="G32" s="100" t="s">
        <v>65</v>
      </c>
      <c r="H32" s="99" t="s">
        <v>25</v>
      </c>
      <c r="J32" s="99" t="s">
        <v>59</v>
      </c>
      <c r="K32" s="100" t="s">
        <v>60</v>
      </c>
      <c r="L32" s="100" t="s">
        <v>61</v>
      </c>
      <c r="M32" s="100" t="s">
        <v>62</v>
      </c>
      <c r="N32" s="100" t="s">
        <v>63</v>
      </c>
      <c r="O32" s="100" t="s">
        <v>64</v>
      </c>
      <c r="P32" s="100" t="s">
        <v>65</v>
      </c>
      <c r="Q32" s="99" t="s">
        <v>25</v>
      </c>
    </row>
    <row r="33" spans="1:17" ht="18" outlineLevel="1">
      <c r="A33" s="99" t="s">
        <v>73</v>
      </c>
      <c r="B33" s="100" t="s">
        <v>74</v>
      </c>
      <c r="C33" s="101" t="s">
        <v>75</v>
      </c>
      <c r="D33" s="100" t="s">
        <v>76</v>
      </c>
      <c r="E33" s="100" t="s">
        <v>77</v>
      </c>
      <c r="F33" s="100" t="s">
        <v>78</v>
      </c>
      <c r="G33" s="100" t="s">
        <v>79</v>
      </c>
      <c r="H33" s="99" t="s">
        <v>80</v>
      </c>
      <c r="J33" s="99" t="s">
        <v>73</v>
      </c>
      <c r="K33" s="100" t="s">
        <v>74</v>
      </c>
      <c r="L33" s="101" t="s">
        <v>75</v>
      </c>
      <c r="M33" s="100" t="s">
        <v>76</v>
      </c>
      <c r="N33" s="100" t="s">
        <v>77</v>
      </c>
      <c r="O33" s="100" t="s">
        <v>78</v>
      </c>
      <c r="P33" s="100" t="s">
        <v>79</v>
      </c>
      <c r="Q33" s="99" t="s">
        <v>80</v>
      </c>
    </row>
    <row r="34" spans="1:17" ht="27" outlineLevel="1">
      <c r="A34" s="99" t="s">
        <v>88</v>
      </c>
      <c r="B34" s="100" t="s">
        <v>89</v>
      </c>
      <c r="C34" s="100" t="s">
        <v>90</v>
      </c>
      <c r="D34" s="100" t="s">
        <v>91</v>
      </c>
      <c r="E34" s="100" t="s">
        <v>92</v>
      </c>
      <c r="F34" s="100" t="s">
        <v>93</v>
      </c>
      <c r="G34" s="100" t="s">
        <v>94</v>
      </c>
      <c r="H34" s="100" t="s">
        <v>95</v>
      </c>
      <c r="J34" s="99" t="s">
        <v>88</v>
      </c>
      <c r="K34" s="100" t="s">
        <v>89</v>
      </c>
      <c r="L34" s="100" t="s">
        <v>90</v>
      </c>
      <c r="M34" s="100" t="s">
        <v>91</v>
      </c>
      <c r="N34" s="100" t="s">
        <v>92</v>
      </c>
      <c r="O34" s="100" t="s">
        <v>93</v>
      </c>
      <c r="P34" s="100" t="s">
        <v>94</v>
      </c>
      <c r="Q34" s="100" t="s">
        <v>95</v>
      </c>
    </row>
    <row r="35" spans="1:17" ht="18" outlineLevel="1">
      <c r="A35" s="99" t="s">
        <v>97</v>
      </c>
      <c r="B35" s="99" t="s">
        <v>98</v>
      </c>
      <c r="C35" s="100" t="s">
        <v>99</v>
      </c>
      <c r="D35" s="100" t="s">
        <v>100</v>
      </c>
      <c r="E35" s="100" t="s">
        <v>101</v>
      </c>
      <c r="F35" s="100" t="s">
        <v>102</v>
      </c>
      <c r="G35" s="100" t="s">
        <v>103</v>
      </c>
      <c r="H35" s="100" t="s">
        <v>104</v>
      </c>
      <c r="J35" s="99" t="s">
        <v>97</v>
      </c>
      <c r="K35" s="99" t="s">
        <v>98</v>
      </c>
      <c r="L35" s="100" t="s">
        <v>99</v>
      </c>
      <c r="M35" s="100" t="s">
        <v>100</v>
      </c>
      <c r="N35" s="100" t="s">
        <v>101</v>
      </c>
      <c r="O35" s="100" t="s">
        <v>102</v>
      </c>
      <c r="P35" s="100" t="s">
        <v>103</v>
      </c>
      <c r="Q35" s="100" t="s">
        <v>104</v>
      </c>
    </row>
    <row r="36" spans="1:17" ht="18" outlineLevel="1">
      <c r="A36" s="99" t="s">
        <v>106</v>
      </c>
      <c r="B36" s="99" t="s">
        <v>107</v>
      </c>
      <c r="C36" s="100" t="s">
        <v>108</v>
      </c>
      <c r="D36" s="100" t="s">
        <v>109</v>
      </c>
      <c r="E36" s="100" t="s">
        <v>110</v>
      </c>
      <c r="F36" s="100" t="s">
        <v>111</v>
      </c>
      <c r="G36" s="102"/>
      <c r="H36" s="102"/>
      <c r="J36" s="99" t="s">
        <v>106</v>
      </c>
      <c r="K36" s="99" t="s">
        <v>107</v>
      </c>
      <c r="L36" s="100" t="s">
        <v>108</v>
      </c>
      <c r="M36" s="100" t="s">
        <v>109</v>
      </c>
      <c r="N36" s="100" t="s">
        <v>110</v>
      </c>
      <c r="O36" s="100" t="s">
        <v>111</v>
      </c>
      <c r="P36" s="102"/>
      <c r="Q36" s="102"/>
    </row>
    <row r="37" spans="1:17" ht="21" outlineLevel="1">
      <c r="A37" s="87" t="s">
        <v>113</v>
      </c>
      <c r="B37" s="88"/>
      <c r="C37" s="88"/>
      <c r="D37" s="88"/>
      <c r="E37" s="88"/>
      <c r="F37" s="88"/>
      <c r="G37" s="88"/>
      <c r="H37" s="89" t="s">
        <v>114</v>
      </c>
      <c r="J37" s="87" t="s">
        <v>113</v>
      </c>
      <c r="K37" s="88"/>
      <c r="L37" s="88"/>
      <c r="M37" s="88"/>
      <c r="N37" s="88"/>
      <c r="O37" s="88"/>
      <c r="P37" s="88"/>
      <c r="Q37" s="89" t="s">
        <v>114</v>
      </c>
    </row>
  </sheetData>
  <mergeCells count="57">
    <mergeCell ref="K11:M11"/>
    <mergeCell ref="K10:M10"/>
    <mergeCell ref="K12:M12"/>
    <mergeCell ref="K15:M15"/>
    <mergeCell ref="J6:Q8"/>
    <mergeCell ref="K9:M9"/>
    <mergeCell ref="A5:H5"/>
    <mergeCell ref="J5:Q5"/>
    <mergeCell ref="A6:H8"/>
    <mergeCell ref="B9:D9"/>
    <mergeCell ref="L1:Q2"/>
    <mergeCell ref="J3:K3"/>
    <mergeCell ref="L3:M3"/>
    <mergeCell ref="J4:K4"/>
    <mergeCell ref="L4:M4"/>
    <mergeCell ref="B10:D10"/>
    <mergeCell ref="B11:D11"/>
    <mergeCell ref="B16:D16"/>
    <mergeCell ref="B17:D17"/>
    <mergeCell ref="C1:H2"/>
    <mergeCell ref="A3:B3"/>
    <mergeCell ref="C3:D3"/>
    <mergeCell ref="A4:B4"/>
    <mergeCell ref="C4:D4"/>
    <mergeCell ref="K13:M13"/>
    <mergeCell ref="A30:H30"/>
    <mergeCell ref="B12:D12"/>
    <mergeCell ref="B18:D18"/>
    <mergeCell ref="B27:D27"/>
    <mergeCell ref="B20:D20"/>
    <mergeCell ref="B26:D26"/>
    <mergeCell ref="B21:D21"/>
    <mergeCell ref="B22:D22"/>
    <mergeCell ref="B23:D23"/>
    <mergeCell ref="B28:D28"/>
    <mergeCell ref="B25:D25"/>
    <mergeCell ref="B29:D29"/>
    <mergeCell ref="B24:D24"/>
    <mergeCell ref="B13:D13"/>
    <mergeCell ref="K27:M27"/>
    <mergeCell ref="K28:M28"/>
    <mergeCell ref="J30:Q30"/>
    <mergeCell ref="K26:M26"/>
    <mergeCell ref="O26:Q26"/>
    <mergeCell ref="K20:M20"/>
    <mergeCell ref="B14:D14"/>
    <mergeCell ref="K14:M14"/>
    <mergeCell ref="K25:M25"/>
    <mergeCell ref="K21:M21"/>
    <mergeCell ref="K22:M22"/>
    <mergeCell ref="K23:M23"/>
    <mergeCell ref="K24:M24"/>
    <mergeCell ref="K18:M18"/>
    <mergeCell ref="K19:M19"/>
    <mergeCell ref="B19:D19"/>
    <mergeCell ref="K16:M16"/>
    <mergeCell ref="K17:M17"/>
  </mergeCells>
  <dataValidations count="1">
    <dataValidation type="list" allowBlank="1" showInputMessage="1" showErrorMessage="1" sqref="J6:Q8 A6:H8">
      <formula1>"REACTIVO,PIGMENTO,REACTIVO Y PIGMENTO"</formula1>
    </dataValidation>
  </dataValidations>
  <pageMargins left="0.31496062992125984" right="0.70866141732283472" top="0.74803149606299213" bottom="0.74803149606299213" header="0.31496062992125984" footer="0.31496062992125984"/>
  <pageSetup scale="66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Hoja3!$A$1:$A$197</xm:f>
          </x14:formula1>
          <xm:sqref>B29 B10:B27 K29 K10:K27</xm:sqref>
        </x14:dataValidation>
        <x14:dataValidation type="list" allowBlank="1" showInputMessage="1" showErrorMessage="1">
          <x14:formula1>
            <xm:f>[1]Hoja3!#REF!</xm:f>
          </x14:formula1>
          <xm:sqref>B28 K28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0"/>
  <sheetViews>
    <sheetView topLeftCell="A7" workbookViewId="0">
      <selection activeCell="E16" sqref="E16"/>
    </sheetView>
  </sheetViews>
  <sheetFormatPr baseColWidth="10" defaultRowHeight="15"/>
  <cols>
    <col min="1" max="1" width="22.42578125" customWidth="1"/>
  </cols>
  <sheetData>
    <row r="1" spans="1:1">
      <c r="A1" s="104" t="s">
        <v>198</v>
      </c>
    </row>
    <row r="2" spans="1:1">
      <c r="A2" s="104" t="s">
        <v>199</v>
      </c>
    </row>
    <row r="3" spans="1:1">
      <c r="A3" s="104" t="s">
        <v>200</v>
      </c>
    </row>
    <row r="4" spans="1:1">
      <c r="A4" s="104" t="s">
        <v>201</v>
      </c>
    </row>
    <row r="5" spans="1:1">
      <c r="A5" s="104" t="s">
        <v>202</v>
      </c>
    </row>
    <row r="6" spans="1:1">
      <c r="A6" s="104" t="s">
        <v>203</v>
      </c>
    </row>
    <row r="7" spans="1:1">
      <c r="A7" s="104" t="s">
        <v>204</v>
      </c>
    </row>
    <row r="8" spans="1:1">
      <c r="A8" s="104" t="s">
        <v>205</v>
      </c>
    </row>
    <row r="9" spans="1:1">
      <c r="A9" s="104" t="s">
        <v>206</v>
      </c>
    </row>
    <row r="10" spans="1:1">
      <c r="A10" s="104" t="s">
        <v>207</v>
      </c>
    </row>
    <row r="11" spans="1:1">
      <c r="A11" s="104" t="s">
        <v>208</v>
      </c>
    </row>
    <row r="12" spans="1:1">
      <c r="A12" s="104" t="s">
        <v>209</v>
      </c>
    </row>
    <row r="13" spans="1:1">
      <c r="A13" s="104" t="s">
        <v>210</v>
      </c>
    </row>
    <row r="14" spans="1:1">
      <c r="A14" s="104" t="s">
        <v>211</v>
      </c>
    </row>
    <row r="15" spans="1:1">
      <c r="A15" s="104" t="s">
        <v>240</v>
      </c>
    </row>
    <row r="16" spans="1:1">
      <c r="A16" s="104" t="s">
        <v>212</v>
      </c>
    </row>
    <row r="17" spans="1:1">
      <c r="A17" s="104" t="s">
        <v>213</v>
      </c>
    </row>
    <row r="18" spans="1:1">
      <c r="A18" s="104" t="s">
        <v>214</v>
      </c>
    </row>
    <row r="19" spans="1:1">
      <c r="A19" s="104" t="s">
        <v>215</v>
      </c>
    </row>
    <row r="20" spans="1:1">
      <c r="A20" s="104" t="s">
        <v>216</v>
      </c>
    </row>
    <row r="21" spans="1:1">
      <c r="A21" s="104" t="s">
        <v>217</v>
      </c>
    </row>
    <row r="22" spans="1:1">
      <c r="A22" s="104" t="s">
        <v>218</v>
      </c>
    </row>
    <row r="23" spans="1:1">
      <c r="A23" s="104" t="s">
        <v>219</v>
      </c>
    </row>
    <row r="24" spans="1:1">
      <c r="A24" s="104" t="s">
        <v>220</v>
      </c>
    </row>
    <row r="25" spans="1:1">
      <c r="A25" s="104" t="s">
        <v>221</v>
      </c>
    </row>
    <row r="26" spans="1:1">
      <c r="A26" s="104" t="s">
        <v>222</v>
      </c>
    </row>
    <row r="27" spans="1:1">
      <c r="A27" s="104" t="s">
        <v>237</v>
      </c>
    </row>
    <row r="28" spans="1:1">
      <c r="A28" s="104" t="s">
        <v>223</v>
      </c>
    </row>
    <row r="29" spans="1:1">
      <c r="A29" s="104" t="s">
        <v>224</v>
      </c>
    </row>
    <row r="30" spans="1:1">
      <c r="A30" s="104" t="s">
        <v>225</v>
      </c>
    </row>
    <row r="31" spans="1:1">
      <c r="A31" s="104" t="s">
        <v>226</v>
      </c>
    </row>
    <row r="32" spans="1:1">
      <c r="A32" s="104" t="s">
        <v>227</v>
      </c>
    </row>
    <row r="33" spans="1:1">
      <c r="A33" s="104" t="s">
        <v>228</v>
      </c>
    </row>
    <row r="34" spans="1:1">
      <c r="A34" s="104" t="s">
        <v>229</v>
      </c>
    </row>
    <row r="35" spans="1:1">
      <c r="A35" s="104" t="s">
        <v>230</v>
      </c>
    </row>
    <row r="36" spans="1:1">
      <c r="A36" s="104" t="s">
        <v>231</v>
      </c>
    </row>
    <row r="37" spans="1:1">
      <c r="A37" s="104" t="s">
        <v>232</v>
      </c>
    </row>
    <row r="38" spans="1:1">
      <c r="A38" s="104" t="s">
        <v>233</v>
      </c>
    </row>
    <row r="39" spans="1:1">
      <c r="A39" s="104" t="s">
        <v>234</v>
      </c>
    </row>
    <row r="40" spans="1:1">
      <c r="A40" s="104" t="s">
        <v>238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Hoja1</vt:lpstr>
      <vt:lpstr>Hoja2</vt:lpstr>
      <vt:lpstr>Hoja3</vt:lpstr>
      <vt:lpstr>Hoja4</vt:lpstr>
      <vt:lpstr>ceco</vt:lpstr>
      <vt:lpstr>PROCESOS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Estampados Contex</cp:lastModifiedBy>
  <cp:lastPrinted>2026-06-12T15:08:46Z</cp:lastPrinted>
  <dcterms:created xsi:type="dcterms:W3CDTF">2026-01-30T16:52:29Z</dcterms:created>
  <dcterms:modified xsi:type="dcterms:W3CDTF">2026-06-12T15:19:25Z</dcterms:modified>
</cp:coreProperties>
</file>
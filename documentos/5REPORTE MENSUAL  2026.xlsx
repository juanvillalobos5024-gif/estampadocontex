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activeTab="8"/>
  </bookViews>
  <sheets>
    <sheet name="ENERO" sheetId="2" r:id="rId1"/>
    <sheet name="FEBRERO" sheetId="3" r:id="rId2"/>
    <sheet name="MARZO" sheetId="4" r:id="rId3"/>
    <sheet name="ABRIL" sheetId="5" r:id="rId4"/>
    <sheet name="MAYO" sheetId="6" r:id="rId5"/>
    <sheet name="JUNIO" sheetId="7" r:id="rId6"/>
    <sheet name="JULIO" sheetId="8" r:id="rId7"/>
    <sheet name="AGOSTO" sheetId="9" r:id="rId8"/>
    <sheet name="SEPTIEMBRE" sheetId="10" r:id="rId9"/>
  </sheets>
  <definedNames>
    <definedName name="_xlnm._FilterDatabase" localSheetId="0" hidden="1">ENERO!$A$1:$K$1</definedName>
    <definedName name="_xlnm._FilterDatabase" localSheetId="1" hidden="1">FEBRERO!$A$1:$L$36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10"/>
  <c r="H35"/>
  <c r="I35" s="1"/>
  <c r="K35" s="1"/>
  <c r="H34"/>
  <c r="I34" s="1"/>
  <c r="K34" s="1"/>
  <c r="H33"/>
  <c r="I33" s="1"/>
  <c r="K33" s="1"/>
  <c r="H32"/>
  <c r="I32" s="1"/>
  <c r="K32" s="1"/>
  <c r="H31"/>
  <c r="I31" s="1"/>
  <c r="K31" s="1"/>
  <c r="H30"/>
  <c r="I30" s="1"/>
  <c r="K30" s="1"/>
  <c r="H29"/>
  <c r="I29" s="1"/>
  <c r="K29" s="1"/>
  <c r="H28"/>
  <c r="I28" s="1"/>
  <c r="K28" s="1"/>
  <c r="H27"/>
  <c r="I27"/>
  <c r="K27" s="1"/>
  <c r="H26"/>
  <c r="I26"/>
  <c r="K26" s="1"/>
  <c r="H25"/>
  <c r="I25"/>
  <c r="K25" s="1"/>
  <c r="H24" l="1"/>
  <c r="I24" s="1"/>
  <c r="K24" s="1"/>
  <c r="H23"/>
  <c r="I23" s="1"/>
  <c r="K23" s="1"/>
  <c r="I22"/>
  <c r="K22" s="1"/>
  <c r="H22"/>
  <c r="H21"/>
  <c r="I21"/>
  <c r="K21" s="1"/>
  <c r="H20"/>
  <c r="I20"/>
  <c r="K20" s="1"/>
  <c r="H19"/>
  <c r="I19"/>
  <c r="K19" s="1"/>
  <c r="H18"/>
  <c r="I18"/>
  <c r="K18" s="1"/>
  <c r="H17"/>
  <c r="I17" s="1"/>
  <c r="K17" s="1"/>
  <c r="H16"/>
  <c r="I16"/>
  <c r="K16" s="1"/>
  <c r="I15" l="1"/>
  <c r="K15" s="1"/>
  <c r="H15"/>
  <c r="H14"/>
  <c r="I14"/>
  <c r="K14" s="1"/>
  <c r="H13"/>
  <c r="I13"/>
  <c r="K13" s="1"/>
  <c r="H12"/>
  <c r="I12"/>
  <c r="K12" s="1"/>
  <c r="H10"/>
  <c r="I10"/>
  <c r="K10" s="1"/>
  <c r="H11"/>
  <c r="I11" s="1"/>
  <c r="K11" s="1"/>
  <c r="H9"/>
  <c r="I9"/>
  <c r="K9" s="1"/>
  <c r="H7"/>
  <c r="I7" s="1"/>
  <c r="K7" s="1"/>
  <c r="H8"/>
  <c r="I8"/>
  <c r="K8" s="1"/>
  <c r="H6"/>
  <c r="I6" s="1"/>
  <c r="K6" s="1"/>
  <c r="H5"/>
  <c r="I5" s="1"/>
  <c r="K5" s="1"/>
  <c r="I4"/>
  <c r="K4" s="1"/>
  <c r="H4"/>
  <c r="H3"/>
  <c r="I3"/>
  <c r="K3" s="1"/>
  <c r="I2"/>
  <c r="K2" s="1"/>
  <c r="H2"/>
  <c r="H34" i="9"/>
  <c r="I34"/>
  <c r="K37" i="10" l="1"/>
  <c r="K34" i="9"/>
  <c r="H33"/>
  <c r="I33" s="1"/>
  <c r="K33" s="1"/>
  <c r="H32"/>
  <c r="I32"/>
  <c r="K32" s="1"/>
  <c r="J49"/>
  <c r="H29"/>
  <c r="I29" s="1"/>
  <c r="K29" s="1"/>
  <c r="H30"/>
  <c r="I30"/>
  <c r="K30" s="1"/>
  <c r="H31"/>
  <c r="I31" s="1"/>
  <c r="K31" s="1"/>
  <c r="H28"/>
  <c r="I28" s="1"/>
  <c r="K28" s="1"/>
  <c r="H27"/>
  <c r="I27" s="1"/>
  <c r="K27" s="1"/>
  <c r="H25"/>
  <c r="I25" s="1"/>
  <c r="K25" s="1"/>
  <c r="H26"/>
  <c r="I26" s="1"/>
  <c r="K26" s="1"/>
  <c r="H23"/>
  <c r="I23" s="1"/>
  <c r="K23" s="1"/>
  <c r="H24"/>
  <c r="I24" s="1"/>
  <c r="K24" s="1"/>
  <c r="H22"/>
  <c r="I22"/>
  <c r="K22" s="1"/>
  <c r="H21"/>
  <c r="I21" s="1"/>
  <c r="K21" s="1"/>
  <c r="I20"/>
  <c r="K20" s="1"/>
  <c r="H20"/>
  <c r="H19"/>
  <c r="I19"/>
  <c r="H18"/>
  <c r="I18" s="1"/>
  <c r="K18" s="1"/>
  <c r="H16"/>
  <c r="I16" s="1"/>
  <c r="K16" s="1"/>
  <c r="H17"/>
  <c r="I17" s="1"/>
  <c r="H15"/>
  <c r="I15" s="1"/>
  <c r="K15" s="1"/>
  <c r="H14"/>
  <c r="I14" s="1"/>
  <c r="K14" s="1"/>
  <c r="H12"/>
  <c r="I12" s="1"/>
  <c r="K12" s="1"/>
  <c r="H13"/>
  <c r="I13"/>
  <c r="K13" s="1"/>
  <c r="H11"/>
  <c r="I11" s="1"/>
  <c r="K11" s="1"/>
  <c r="H10"/>
  <c r="I10" s="1"/>
  <c r="K10" s="1"/>
  <c r="H9"/>
  <c r="I9" s="1"/>
  <c r="K9" s="1"/>
  <c r="H8"/>
  <c r="I8" s="1"/>
  <c r="K8" s="1"/>
  <c r="H7"/>
  <c r="I7" s="1"/>
  <c r="K7" s="1"/>
  <c r="H6"/>
  <c r="I6"/>
  <c r="K6" s="1"/>
  <c r="H5"/>
  <c r="I5" s="1"/>
  <c r="K5" s="1"/>
  <c r="H4"/>
  <c r="I4" s="1"/>
  <c r="K4" s="1"/>
  <c r="I3"/>
  <c r="K3" s="1"/>
  <c r="H3"/>
  <c r="H2"/>
  <c r="I2" s="1"/>
  <c r="K2" s="1"/>
  <c r="K46"/>
  <c r="K45"/>
  <c r="K44"/>
  <c r="K43"/>
  <c r="K42"/>
  <c r="K41"/>
  <c r="K40"/>
  <c r="K39"/>
  <c r="K38"/>
  <c r="K37"/>
  <c r="K36"/>
  <c r="K35"/>
  <c r="K19"/>
  <c r="H46" i="8"/>
  <c r="I46"/>
  <c r="K46" s="1"/>
  <c r="H45"/>
  <c r="I45" s="1"/>
  <c r="K45" s="1"/>
  <c r="H44"/>
  <c r="I44" s="1"/>
  <c r="K44" s="1"/>
  <c r="H43"/>
  <c r="I43" s="1"/>
  <c r="K43" s="1"/>
  <c r="H42"/>
  <c r="I42" s="1"/>
  <c r="K42" s="1"/>
  <c r="H40"/>
  <c r="I40" s="1"/>
  <c r="K40" s="1"/>
  <c r="H41"/>
  <c r="I41"/>
  <c r="K41" s="1"/>
  <c r="H37"/>
  <c r="I37" s="1"/>
  <c r="K37" s="1"/>
  <c r="H38"/>
  <c r="I38" s="1"/>
  <c r="K38" s="1"/>
  <c r="H39"/>
  <c r="I39" s="1"/>
  <c r="K39" s="1"/>
  <c r="H36"/>
  <c r="I36" s="1"/>
  <c r="K36" s="1"/>
  <c r="H35"/>
  <c r="I35" s="1"/>
  <c r="K35" s="1"/>
  <c r="K49" i="9" l="1"/>
  <c r="J49" i="8"/>
  <c r="H34"/>
  <c r="I34"/>
  <c r="K34" s="1"/>
  <c r="H33"/>
  <c r="I33" s="1"/>
  <c r="K33" s="1"/>
  <c r="H32"/>
  <c r="I32" s="1"/>
  <c r="K32" s="1"/>
  <c r="H31"/>
  <c r="I31" s="1"/>
  <c r="K31" s="1"/>
  <c r="H30"/>
  <c r="I30" s="1"/>
  <c r="K30" s="1"/>
  <c r="H27"/>
  <c r="I27" s="1"/>
  <c r="K27" s="1"/>
  <c r="H28"/>
  <c r="I28" s="1"/>
  <c r="K28" s="1"/>
  <c r="H29"/>
  <c r="I29" s="1"/>
  <c r="K29" s="1"/>
  <c r="H25"/>
  <c r="I25" s="1"/>
  <c r="K25" s="1"/>
  <c r="H26"/>
  <c r="I26"/>
  <c r="K26" s="1"/>
  <c r="H23"/>
  <c r="I23" s="1"/>
  <c r="K23" s="1"/>
  <c r="H24"/>
  <c r="I24" s="1"/>
  <c r="K24" s="1"/>
  <c r="H22"/>
  <c r="I22" s="1"/>
  <c r="K22" s="1"/>
  <c r="H21"/>
  <c r="I21" s="1"/>
  <c r="K21" s="1"/>
  <c r="H20"/>
  <c r="I20"/>
  <c r="K20" s="1"/>
  <c r="H19"/>
  <c r="I19" s="1"/>
  <c r="K19" s="1"/>
  <c r="H18" l="1"/>
  <c r="I18" s="1"/>
  <c r="K18" s="1"/>
  <c r="H17"/>
  <c r="I17" s="1"/>
  <c r="K17" s="1"/>
  <c r="H15"/>
  <c r="I15" s="1"/>
  <c r="K15" s="1"/>
  <c r="H16"/>
  <c r="I16" s="1"/>
  <c r="K16" s="1"/>
  <c r="H14"/>
  <c r="I14" s="1"/>
  <c r="K14" s="1"/>
  <c r="H13"/>
  <c r="I13" s="1"/>
  <c r="K13" s="1"/>
  <c r="H12"/>
  <c r="I12" s="1"/>
  <c r="K12" s="1"/>
  <c r="H11"/>
  <c r="I11" s="1"/>
  <c r="K11" s="1"/>
  <c r="H10"/>
  <c r="I10" s="1"/>
  <c r="K10" s="1"/>
  <c r="H9"/>
  <c r="I9" s="1"/>
  <c r="K9" s="1"/>
  <c r="H6"/>
  <c r="I6" s="1"/>
  <c r="K6" s="1"/>
  <c r="H5"/>
  <c r="I5" s="1"/>
  <c r="K5" s="1"/>
  <c r="H4"/>
  <c r="I4" s="1"/>
  <c r="K4" s="1"/>
  <c r="H3" l="1"/>
  <c r="I3" s="1"/>
  <c r="K3" s="1"/>
  <c r="H2"/>
  <c r="I2" s="1"/>
  <c r="K2" s="1"/>
  <c r="K49" s="1"/>
  <c r="H45" i="7"/>
  <c r="I45" s="1"/>
  <c r="K45" s="1"/>
  <c r="H44" l="1"/>
  <c r="I44"/>
  <c r="K44" s="1"/>
  <c r="H42"/>
  <c r="I42" s="1"/>
  <c r="K42" s="1"/>
  <c r="H43"/>
  <c r="I43"/>
  <c r="K43" s="1"/>
  <c r="H40"/>
  <c r="I40" s="1"/>
  <c r="K40" s="1"/>
  <c r="H41"/>
  <c r="I41" s="1"/>
  <c r="K41" s="1"/>
  <c r="H37"/>
  <c r="I37"/>
  <c r="K37" s="1"/>
  <c r="H38"/>
  <c r="I38" s="1"/>
  <c r="K38" s="1"/>
  <c r="H39"/>
  <c r="I39" s="1"/>
  <c r="K39" s="1"/>
  <c r="H36"/>
  <c r="I36" s="1"/>
  <c r="K36" s="1"/>
  <c r="H35"/>
  <c r="I35" s="1"/>
  <c r="K35" s="1"/>
  <c r="H33"/>
  <c r="I33" s="1"/>
  <c r="K33" s="1"/>
  <c r="H34"/>
  <c r="I34"/>
  <c r="K34" s="1"/>
  <c r="H32"/>
  <c r="I32" s="1"/>
  <c r="K32" s="1"/>
  <c r="H31"/>
  <c r="I31" s="1"/>
  <c r="K31" s="1"/>
  <c r="H30"/>
  <c r="I30" s="1"/>
  <c r="K30" s="1"/>
  <c r="H29"/>
  <c r="I29" s="1"/>
  <c r="K29" s="1"/>
  <c r="H28"/>
  <c r="I28" s="1"/>
  <c r="K28" s="1"/>
  <c r="H27"/>
  <c r="I27" s="1"/>
  <c r="K27" s="1"/>
  <c r="H26"/>
  <c r="I26" s="1"/>
  <c r="K26" s="1"/>
  <c r="H24"/>
  <c r="I24" s="1"/>
  <c r="K24" s="1"/>
  <c r="H25"/>
  <c r="I25"/>
  <c r="K25" s="1"/>
  <c r="H23"/>
  <c r="I23" s="1"/>
  <c r="K23" s="1"/>
  <c r="H22"/>
  <c r="I22" s="1"/>
  <c r="K22" s="1"/>
  <c r="H20"/>
  <c r="I20"/>
  <c r="K20" s="1"/>
  <c r="H21"/>
  <c r="I21" s="1"/>
  <c r="K21" s="1"/>
  <c r="H19"/>
  <c r="I19" s="1"/>
  <c r="K19" s="1"/>
  <c r="H18"/>
  <c r="I18" s="1"/>
  <c r="K18" s="1"/>
  <c r="H17"/>
  <c r="I17"/>
  <c r="K17" s="1"/>
  <c r="H16" l="1"/>
  <c r="I16" s="1"/>
  <c r="K16" s="1"/>
  <c r="H15"/>
  <c r="I15" s="1"/>
  <c r="K15" s="1"/>
  <c r="H14"/>
  <c r="I14" s="1"/>
  <c r="H13" l="1"/>
  <c r="I13" s="1"/>
  <c r="K13" s="1"/>
  <c r="H12"/>
  <c r="I12" s="1"/>
  <c r="K12" s="1"/>
  <c r="H11" l="1"/>
  <c r="I11" s="1"/>
  <c r="K11" l="1"/>
  <c r="H10"/>
  <c r="I10" s="1"/>
  <c r="K10" s="1"/>
  <c r="H9"/>
  <c r="I9" s="1"/>
  <c r="K9" s="1"/>
  <c r="H8"/>
  <c r="I8" s="1"/>
  <c r="K8" s="1"/>
  <c r="H7"/>
  <c r="I7" s="1"/>
  <c r="K7" s="1"/>
  <c r="H6"/>
  <c r="I6" s="1"/>
  <c r="K6" s="1"/>
  <c r="H5"/>
  <c r="I5" s="1"/>
  <c r="K5" s="1"/>
  <c r="H4"/>
  <c r="I4" s="1"/>
  <c r="K4" s="1"/>
  <c r="J47" l="1"/>
  <c r="H3"/>
  <c r="I3" s="1"/>
  <c r="K3" s="1"/>
  <c r="H2"/>
  <c r="I2" s="1"/>
  <c r="K2" s="1"/>
  <c r="K47" s="1"/>
  <c r="H36" i="6"/>
  <c r="I36" s="1"/>
  <c r="K36" s="1"/>
  <c r="H37"/>
  <c r="I37" s="1"/>
  <c r="K37" s="1"/>
  <c r="H35" l="1"/>
  <c r="I35" s="1"/>
  <c r="K35" s="1"/>
  <c r="H34"/>
  <c r="I34" s="1"/>
  <c r="K34" s="1"/>
  <c r="H33"/>
  <c r="I33" s="1"/>
  <c r="K33" s="1"/>
  <c r="H32"/>
  <c r="I32" s="1"/>
  <c r="K32" s="1"/>
  <c r="H31" l="1"/>
  <c r="I31" s="1"/>
  <c r="K31" s="1"/>
  <c r="H30"/>
  <c r="I30" s="1"/>
  <c r="K30" s="1"/>
  <c r="H29"/>
  <c r="I29" s="1"/>
  <c r="K29" s="1"/>
  <c r="H28"/>
  <c r="I28" s="1"/>
  <c r="K28" s="1"/>
  <c r="H27"/>
  <c r="I27" s="1"/>
  <c r="K27" s="1"/>
  <c r="H26"/>
  <c r="I26"/>
  <c r="K26" s="1"/>
  <c r="H25"/>
  <c r="I25"/>
  <c r="K25" s="1"/>
  <c r="H24"/>
  <c r="I24" s="1"/>
  <c r="K24" s="1"/>
  <c r="H23"/>
  <c r="I23" s="1"/>
  <c r="K23" s="1"/>
  <c r="H22"/>
  <c r="I22" s="1"/>
  <c r="K22" s="1"/>
  <c r="I21"/>
  <c r="K21" s="1"/>
  <c r="H21"/>
  <c r="H20"/>
  <c r="I20" s="1"/>
  <c r="K20" s="1"/>
  <c r="H19" l="1"/>
  <c r="I19" s="1"/>
  <c r="K19" s="1"/>
  <c r="H18"/>
  <c r="I18" s="1"/>
  <c r="K18" s="1"/>
  <c r="H17"/>
  <c r="I17" s="1"/>
  <c r="K17" s="1"/>
  <c r="H16"/>
  <c r="I16" s="1"/>
  <c r="K16" s="1"/>
  <c r="H15" l="1"/>
  <c r="I15" s="1"/>
  <c r="K15" s="1"/>
  <c r="H14"/>
  <c r="I14" s="1"/>
  <c r="K14" s="1"/>
  <c r="H13"/>
  <c r="I13" s="1"/>
  <c r="K13" s="1"/>
  <c r="H12"/>
  <c r="I12" s="1"/>
  <c r="K12" s="1"/>
  <c r="H11"/>
  <c r="I11" s="1"/>
  <c r="K11" s="1"/>
  <c r="H10" l="1"/>
  <c r="I10" s="1"/>
  <c r="K10" s="1"/>
  <c r="H9"/>
  <c r="I9" s="1"/>
  <c r="K9" s="1"/>
  <c r="J47" l="1"/>
  <c r="H8"/>
  <c r="I8" s="1"/>
  <c r="K8" s="1"/>
  <c r="H7"/>
  <c r="I7" s="1"/>
  <c r="K7" s="1"/>
  <c r="H6"/>
  <c r="I6" s="1"/>
  <c r="K6" s="1"/>
  <c r="H2" l="1"/>
  <c r="I2" s="1"/>
  <c r="H5"/>
  <c r="I5" s="1"/>
  <c r="K5" s="1"/>
  <c r="H4"/>
  <c r="I4" s="1"/>
  <c r="K4" s="1"/>
  <c r="H3" l="1"/>
  <c r="I3" s="1"/>
  <c r="K3" s="1"/>
  <c r="K2"/>
  <c r="K47" l="1"/>
  <c r="H45" i="5"/>
  <c r="I45" s="1"/>
  <c r="K45" s="1"/>
  <c r="H46"/>
  <c r="I46" s="1"/>
  <c r="K46" s="1"/>
  <c r="H44"/>
  <c r="I44" s="1"/>
  <c r="K44" s="1"/>
  <c r="H43"/>
  <c r="I43" s="1"/>
  <c r="K43" s="1"/>
  <c r="H42"/>
  <c r="I42" s="1"/>
  <c r="K42" s="1"/>
  <c r="H41"/>
  <c r="I41" s="1"/>
  <c r="K41" s="1"/>
  <c r="H40"/>
  <c r="I40" s="1"/>
  <c r="K40" s="1"/>
  <c r="H39" l="1"/>
  <c r="I39" s="1"/>
  <c r="K39" s="1"/>
  <c r="H38"/>
  <c r="I38" s="1"/>
  <c r="K38" s="1"/>
  <c r="H37"/>
  <c r="I37" s="1"/>
  <c r="K37" s="1"/>
  <c r="H36"/>
  <c r="I36" s="1"/>
  <c r="K36" s="1"/>
  <c r="H35"/>
  <c r="I35" s="1"/>
  <c r="K35" s="1"/>
  <c r="H34"/>
  <c r="I34" s="1"/>
  <c r="K34" s="1"/>
  <c r="H33"/>
  <c r="I33" s="1"/>
  <c r="K33" s="1"/>
  <c r="H32"/>
  <c r="I32" s="1"/>
  <c r="K32" s="1"/>
  <c r="H31"/>
  <c r="I31" s="1"/>
  <c r="K31" s="1"/>
  <c r="H30"/>
  <c r="I30" s="1"/>
  <c r="K30" s="1"/>
  <c r="H29"/>
  <c r="I29" s="1"/>
  <c r="K29" s="1"/>
  <c r="H28"/>
  <c r="I28" s="1"/>
  <c r="K28" s="1"/>
  <c r="H27" l="1"/>
  <c r="I27" s="1"/>
  <c r="K27" s="1"/>
  <c r="H26"/>
  <c r="I26" s="1"/>
  <c r="K26" s="1"/>
  <c r="H25"/>
  <c r="I25" s="1"/>
  <c r="K25" s="1"/>
  <c r="H24"/>
  <c r="I24" s="1"/>
  <c r="K24" s="1"/>
  <c r="H23"/>
  <c r="I23" s="1"/>
  <c r="K23" s="1"/>
  <c r="H22"/>
  <c r="I22" s="1"/>
  <c r="K22" s="1"/>
  <c r="H21"/>
  <c r="I21" s="1"/>
  <c r="K21" s="1"/>
  <c r="H20" l="1"/>
  <c r="I20" s="1"/>
  <c r="K20" s="1"/>
  <c r="H19"/>
  <c r="I19" s="1"/>
  <c r="K19" s="1"/>
  <c r="H18" l="1"/>
  <c r="I18" s="1"/>
  <c r="K18" s="1"/>
  <c r="H17"/>
  <c r="I17"/>
  <c r="K17" s="1"/>
  <c r="H16" l="1"/>
  <c r="I16" s="1"/>
  <c r="K16" s="1"/>
  <c r="H15"/>
  <c r="I15" s="1"/>
  <c r="K15" s="1"/>
  <c r="H14"/>
  <c r="I14" s="1"/>
  <c r="K14" s="1"/>
  <c r="H13"/>
  <c r="I13" s="1"/>
  <c r="K13" s="1"/>
  <c r="H12"/>
  <c r="I12" s="1"/>
  <c r="K12" s="1"/>
  <c r="H11"/>
  <c r="I11" s="1"/>
  <c r="K11" s="1"/>
  <c r="H8"/>
  <c r="I8" s="1"/>
  <c r="K8" s="1"/>
  <c r="H10"/>
  <c r="I10" s="1"/>
  <c r="K10" s="1"/>
  <c r="H9"/>
  <c r="I9" s="1"/>
  <c r="K9" s="1"/>
  <c r="H7" l="1"/>
  <c r="I7" s="1"/>
  <c r="K7" s="1"/>
  <c r="H6" l="1"/>
  <c r="I6" s="1"/>
  <c r="K6" s="1"/>
  <c r="H5"/>
  <c r="I5" s="1"/>
  <c r="K5" s="1"/>
  <c r="H4"/>
  <c r="I4" s="1"/>
  <c r="K4" s="1"/>
  <c r="H3" l="1"/>
  <c r="I3" s="1"/>
  <c r="K3" s="1"/>
  <c r="J47"/>
  <c r="H2"/>
  <c r="I2" s="1"/>
  <c r="K2" s="1"/>
  <c r="K47"/>
  <c r="J45" i="4" l="1"/>
  <c r="H44"/>
  <c r="I44" s="1"/>
  <c r="K44" s="1"/>
  <c r="H43"/>
  <c r="I43" s="1"/>
  <c r="K43" s="1"/>
  <c r="H42"/>
  <c r="I42" s="1"/>
  <c r="K42" s="1"/>
  <c r="H41"/>
  <c r="I41" s="1"/>
  <c r="K41" s="1"/>
  <c r="H40"/>
  <c r="I40" s="1"/>
  <c r="K40" s="1"/>
  <c r="H39"/>
  <c r="I39" s="1"/>
  <c r="K39" s="1"/>
  <c r="H38"/>
  <c r="I38" s="1"/>
  <c r="K38" s="1"/>
  <c r="H37"/>
  <c r="I37" s="1"/>
  <c r="K37" s="1"/>
  <c r="H36" l="1"/>
  <c r="I36" s="1"/>
  <c r="K36" s="1"/>
  <c r="H35"/>
  <c r="I35" s="1"/>
  <c r="K35" s="1"/>
  <c r="H34"/>
  <c r="I34" s="1"/>
  <c r="K34" s="1"/>
  <c r="H33"/>
  <c r="I33" s="1"/>
  <c r="K33" s="1"/>
  <c r="H32"/>
  <c r="I32" s="1"/>
  <c r="K32" s="1"/>
  <c r="I31" l="1"/>
  <c r="K31" s="1"/>
  <c r="H31"/>
  <c r="H30"/>
  <c r="I30" s="1"/>
  <c r="K30" s="1"/>
  <c r="H29"/>
  <c r="I29"/>
  <c r="K29" s="1"/>
  <c r="H19"/>
  <c r="I19" s="1"/>
  <c r="K19" s="1"/>
  <c r="H18"/>
  <c r="I18" s="1"/>
  <c r="K18" s="1"/>
  <c r="H22"/>
  <c r="I22" s="1"/>
  <c r="K22" s="1"/>
  <c r="H17"/>
  <c r="I17" s="1"/>
  <c r="K17" s="1"/>
  <c r="H16"/>
  <c r="I16" s="1"/>
  <c r="K16" s="1"/>
  <c r="H15"/>
  <c r="I15" s="1"/>
  <c r="K15" s="1"/>
  <c r="H14"/>
  <c r="I14" s="1"/>
  <c r="K14" s="1"/>
  <c r="H28"/>
  <c r="I28" s="1"/>
  <c r="K28" s="1"/>
  <c r="H27"/>
  <c r="I27" s="1"/>
  <c r="K27" s="1"/>
  <c r="H26"/>
  <c r="I26" s="1"/>
  <c r="K26" s="1"/>
  <c r="H25"/>
  <c r="I25" s="1"/>
  <c r="K25" s="1"/>
  <c r="H24"/>
  <c r="I24" s="1"/>
  <c r="K24" s="1"/>
  <c r="H23"/>
  <c r="I23" s="1"/>
  <c r="K23" s="1"/>
  <c r="H21"/>
  <c r="I21" s="1"/>
  <c r="K21" s="1"/>
  <c r="H20"/>
  <c r="I20" s="1"/>
  <c r="K20" s="1"/>
  <c r="H13"/>
  <c r="I13" s="1"/>
  <c r="K13" s="1"/>
  <c r="H12" l="1"/>
  <c r="I12" s="1"/>
  <c r="K12" s="1"/>
  <c r="H11" l="1"/>
  <c r="I11" s="1"/>
  <c r="K11" s="1"/>
  <c r="H10"/>
  <c r="I10" s="1"/>
  <c r="K10" s="1"/>
  <c r="H9"/>
  <c r="I9" s="1"/>
  <c r="K9" s="1"/>
  <c r="H8"/>
  <c r="I8" s="1"/>
  <c r="K8" s="1"/>
  <c r="H7"/>
  <c r="I7" s="1"/>
  <c r="K7" s="1"/>
  <c r="H6" l="1"/>
  <c r="I6" s="1"/>
  <c r="K6" s="1"/>
  <c r="H5"/>
  <c r="I5" s="1"/>
  <c r="K5" s="1"/>
  <c r="H4" l="1"/>
  <c r="I4" s="1"/>
  <c r="K4" s="1"/>
  <c r="H3"/>
  <c r="I3" s="1"/>
  <c r="K3" s="1"/>
  <c r="H2" l="1"/>
  <c r="I2" s="1"/>
  <c r="K2" s="1"/>
  <c r="K45" s="1"/>
  <c r="H36" i="3"/>
  <c r="I36" s="1"/>
  <c r="K36" s="1"/>
  <c r="H35"/>
  <c r="I35" s="1"/>
  <c r="K35" s="1"/>
  <c r="H34" l="1"/>
  <c r="I34" s="1"/>
  <c r="K34" s="1"/>
  <c r="H33"/>
  <c r="I33" s="1"/>
  <c r="K33" s="1"/>
  <c r="H32"/>
  <c r="I32" s="1"/>
  <c r="K32" s="1"/>
  <c r="H31"/>
  <c r="I31" s="1"/>
  <c r="K31" s="1"/>
  <c r="H30"/>
  <c r="I30" s="1"/>
  <c r="K30" s="1"/>
  <c r="H29"/>
  <c r="I29" s="1"/>
  <c r="K29" s="1"/>
  <c r="H28"/>
  <c r="I28" s="1"/>
  <c r="K28" s="1"/>
  <c r="H27"/>
  <c r="I27" s="1"/>
  <c r="K27" s="1"/>
  <c r="H26"/>
  <c r="I26" s="1"/>
  <c r="K26" s="1"/>
  <c r="H25"/>
  <c r="I25" s="1"/>
  <c r="K25" s="1"/>
  <c r="H24"/>
  <c r="I24" s="1"/>
  <c r="K24" s="1"/>
  <c r="J38"/>
  <c r="H23"/>
  <c r="I23" s="1"/>
  <c r="K23" s="1"/>
  <c r="H22"/>
  <c r="I22" s="1"/>
  <c r="K22" s="1"/>
  <c r="H21"/>
  <c r="I21" s="1"/>
  <c r="K21" s="1"/>
  <c r="H20"/>
  <c r="I20" s="1"/>
  <c r="K20" s="1"/>
  <c r="H19" l="1"/>
  <c r="I19" s="1"/>
  <c r="K19" s="1"/>
  <c r="H18"/>
  <c r="I18" s="1"/>
  <c r="K18" s="1"/>
  <c r="H17"/>
  <c r="I17" s="1"/>
  <c r="K17" s="1"/>
  <c r="H16"/>
  <c r="I16" s="1"/>
  <c r="K16" s="1"/>
  <c r="H15"/>
  <c r="I15" s="1"/>
  <c r="K15" s="1"/>
  <c r="H14"/>
  <c r="I14" s="1"/>
  <c r="K14" s="1"/>
  <c r="H13"/>
  <c r="I13" s="1"/>
  <c r="K13" s="1"/>
  <c r="H12"/>
  <c r="I12" s="1"/>
  <c r="K12" s="1"/>
  <c r="H11" l="1"/>
  <c r="I11" s="1"/>
  <c r="K11" s="1"/>
  <c r="H9"/>
  <c r="I9" s="1"/>
  <c r="K9" s="1"/>
  <c r="H8"/>
  <c r="I8" s="1"/>
  <c r="K8" s="1"/>
  <c r="H10"/>
  <c r="I10" s="1"/>
  <c r="K10" s="1"/>
  <c r="H7"/>
  <c r="I7" s="1"/>
  <c r="K7" s="1"/>
  <c r="H6"/>
  <c r="I6" s="1"/>
  <c r="K6" s="1"/>
  <c r="H5"/>
  <c r="I5" s="1"/>
  <c r="K5" s="1"/>
  <c r="H4"/>
  <c r="I4" s="1"/>
  <c r="K4" s="1"/>
  <c r="H3" l="1"/>
  <c r="I3" s="1"/>
  <c r="K3" s="1"/>
  <c r="H2"/>
  <c r="I2" s="1"/>
  <c r="K2" s="1"/>
  <c r="K38" s="1"/>
  <c r="J38" i="2"/>
  <c r="H30"/>
  <c r="I30" s="1"/>
  <c r="K30" s="1"/>
  <c r="H29"/>
  <c r="I29" s="1"/>
  <c r="K29" s="1"/>
  <c r="H28"/>
  <c r="I28" s="1"/>
  <c r="K28" s="1"/>
  <c r="H27"/>
  <c r="I27" s="1"/>
  <c r="K27" s="1"/>
  <c r="H26"/>
  <c r="I26" s="1"/>
  <c r="K26" s="1"/>
  <c r="H25"/>
  <c r="I25" s="1"/>
  <c r="K25" s="1"/>
  <c r="H24"/>
  <c r="I24" s="1"/>
  <c r="K24" s="1"/>
  <c r="H21"/>
  <c r="I21" s="1"/>
  <c r="K21" s="1"/>
  <c r="H20"/>
  <c r="I20" s="1"/>
  <c r="K20" s="1"/>
  <c r="H19"/>
  <c r="I19" s="1"/>
  <c r="K19" s="1"/>
  <c r="H16"/>
  <c r="I16" s="1"/>
  <c r="K16" s="1"/>
  <c r="H17"/>
  <c r="I17"/>
  <c r="K17" s="1"/>
  <c r="H15"/>
  <c r="I15" s="1"/>
  <c r="K15" s="1"/>
  <c r="H14"/>
  <c r="I14" s="1"/>
  <c r="K14" s="1"/>
  <c r="H12"/>
  <c r="I12" s="1"/>
  <c r="K12" s="1"/>
  <c r="H13"/>
  <c r="I13" s="1"/>
  <c r="K13" s="1"/>
  <c r="H11"/>
  <c r="I11" s="1"/>
  <c r="K11" s="1"/>
  <c r="H8" l="1"/>
  <c r="I8" s="1"/>
  <c r="K8" s="1"/>
  <c r="H7"/>
  <c r="I7" s="1"/>
  <c r="K7" s="1"/>
  <c r="H6"/>
  <c r="I6" s="1"/>
  <c r="K6" s="1"/>
  <c r="H3"/>
  <c r="I3" s="1"/>
  <c r="K3" s="1"/>
  <c r="H2"/>
  <c r="I2" s="1"/>
  <c r="K2" s="1"/>
  <c r="H23" l="1"/>
  <c r="I23" s="1"/>
  <c r="K23" s="1"/>
  <c r="H22"/>
  <c r="I22" s="1"/>
  <c r="K22" s="1"/>
  <c r="H18"/>
  <c r="I18" s="1"/>
  <c r="K18" s="1"/>
  <c r="H10"/>
  <c r="I10" s="1"/>
  <c r="K10" s="1"/>
  <c r="H9"/>
  <c r="I9" s="1"/>
  <c r="K9" s="1"/>
  <c r="H5"/>
  <c r="I5" s="1"/>
  <c r="K5" s="1"/>
  <c r="H4"/>
  <c r="I4" s="1"/>
  <c r="K4" s="1"/>
  <c r="K38" s="1"/>
</calcChain>
</file>

<file path=xl/sharedStrings.xml><?xml version="1.0" encoding="utf-8"?>
<sst xmlns="http://schemas.openxmlformats.org/spreadsheetml/2006/main" count="796" uniqueCount="115">
  <si>
    <t>FECHA</t>
  </si>
  <si>
    <t>DISEÑO</t>
  </si>
  <si>
    <t>TURNO</t>
  </si>
  <si>
    <t>MEDIDA</t>
  </si>
  <si>
    <t>GR/M2</t>
  </si>
  <si>
    <t>PROCESO</t>
  </si>
  <si>
    <t>AREA</t>
  </si>
  <si>
    <t>PESO UNIDAD</t>
  </si>
  <si>
    <t>UNIDADES</t>
  </si>
  <si>
    <t>KLS DIA</t>
  </si>
  <si>
    <t>PIGMENTO</t>
  </si>
  <si>
    <t xml:space="preserve">CARS </t>
  </si>
  <si>
    <t>QEFRUTAS</t>
  </si>
  <si>
    <t>REACTIVO</t>
  </si>
  <si>
    <t xml:space="preserve">MINNIE MOUSE </t>
  </si>
  <si>
    <t>MICKEY MOUSE</t>
  </si>
  <si>
    <t>CHASE</t>
  </si>
  <si>
    <t>SKYE</t>
  </si>
  <si>
    <t>STICH NIÑA</t>
  </si>
  <si>
    <t>GRANJA ANDU</t>
  </si>
  <si>
    <t>CANGREJO</t>
  </si>
  <si>
    <t>STICH NIÑO</t>
  </si>
  <si>
    <t>KOALA NIÑO</t>
  </si>
  <si>
    <t>GATA MARY</t>
  </si>
  <si>
    <t>FRUTAS ANDU</t>
  </si>
  <si>
    <t>KOALA NIÑA</t>
  </si>
  <si>
    <t>RAMA DUPRE</t>
  </si>
  <si>
    <t>QE UTENSILIO</t>
  </si>
  <si>
    <t>STITCH NIÑA</t>
  </si>
  <si>
    <t>STITCH NIÑO</t>
  </si>
  <si>
    <t xml:space="preserve">MICKEY MOUSE </t>
  </si>
  <si>
    <t xml:space="preserve">CHASE  </t>
  </si>
  <si>
    <t>SKAY</t>
  </si>
  <si>
    <t xml:space="preserve">                                                  </t>
  </si>
  <si>
    <t>QE FRUTAS</t>
  </si>
  <si>
    <t>VACAS  ANDU</t>
  </si>
  <si>
    <t>C ASTRO LINEA</t>
  </si>
  <si>
    <t>C.SALVAJE LINEA</t>
  </si>
  <si>
    <t>C.SAFARI LINEA</t>
  </si>
  <si>
    <t>C.MAGIC LINEA</t>
  </si>
  <si>
    <t>C.DINOSAURIO LINEA</t>
  </si>
  <si>
    <t>FRUTAS ANDU VIEJAS</t>
  </si>
  <si>
    <t>FLOR DUPRE</t>
  </si>
  <si>
    <t xml:space="preserve">FRUTAS ANDU </t>
  </si>
  <si>
    <t>KOALA MARKETING</t>
  </si>
  <si>
    <t xml:space="preserve">STITCH NIÑA </t>
  </si>
  <si>
    <t>AIRO MAN HOLK</t>
  </si>
  <si>
    <t>GRANJAS ANDU</t>
  </si>
  <si>
    <t>DUPRE RAYAS</t>
  </si>
  <si>
    <t>DUPRE FLORES</t>
  </si>
  <si>
    <t>SPIDER-MAN</t>
  </si>
  <si>
    <t>SPIDEY</t>
  </si>
  <si>
    <t>AVENGER TOOR</t>
  </si>
  <si>
    <t>C.UNICORNIO LINEA</t>
  </si>
  <si>
    <t>C.ARCOIRIS LINEA</t>
  </si>
  <si>
    <t>AVENGERS TOOR</t>
  </si>
  <si>
    <t>IRON MAN HOLK</t>
  </si>
  <si>
    <t>MINNIE MOUSE</t>
  </si>
  <si>
    <t>LAZOS MUESTRAS</t>
  </si>
  <si>
    <t xml:space="preserve">GRANJA ANDU </t>
  </si>
  <si>
    <t xml:space="preserve">      </t>
  </si>
  <si>
    <t>CARS</t>
  </si>
  <si>
    <t>GALLINA DUPREE</t>
  </si>
  <si>
    <t>DINO MARKETING</t>
  </si>
  <si>
    <t>MARIE</t>
  </si>
  <si>
    <t>CHASE P.P</t>
  </si>
  <si>
    <t>ZOOLOGICO</t>
  </si>
  <si>
    <t>AVENGERS THOOR</t>
  </si>
  <si>
    <t>IRON-MAN</t>
  </si>
  <si>
    <t>WOODY (MUESTRA) 6CM</t>
  </si>
  <si>
    <t>WOODY (MUESTRA) X</t>
  </si>
  <si>
    <t>BUZZ (MUESTRA) 6CM</t>
  </si>
  <si>
    <t xml:space="preserve">STITCH NIÑO </t>
  </si>
  <si>
    <t>M.LORIAN (MUESTRA) 6CM</t>
  </si>
  <si>
    <t>CARS (MUESTRA) 6CM</t>
  </si>
  <si>
    <t>AVENGERS 3</t>
  </si>
  <si>
    <t>STITCH (MUESTRA) 6CM</t>
  </si>
  <si>
    <t>AVENGERS 2</t>
  </si>
  <si>
    <t>BARRANQUILLA</t>
  </si>
  <si>
    <t>BUZZ</t>
  </si>
  <si>
    <t>WOODY</t>
  </si>
  <si>
    <t>SPAIDER-MAN</t>
  </si>
  <si>
    <t>DAÑO MAQUINA</t>
  </si>
  <si>
    <t>SELECCIÓN COLOMBIA</t>
  </si>
  <si>
    <t>STITCH NÑO</t>
  </si>
  <si>
    <t>POWER FIT</t>
  </si>
  <si>
    <t>MMA</t>
  </si>
  <si>
    <t>SPAIDY</t>
  </si>
  <si>
    <t xml:space="preserve"> </t>
  </si>
  <si>
    <t>ROMARCO</t>
  </si>
  <si>
    <t>DESCANSO</t>
  </si>
  <si>
    <t xml:space="preserve">SPIDY GIGANTE </t>
  </si>
  <si>
    <t xml:space="preserve">BUZZ MODA NOVA </t>
  </si>
  <si>
    <t xml:space="preserve">CARS MODA NOVA </t>
  </si>
  <si>
    <t xml:space="preserve">WOODY MODA NOVA </t>
  </si>
  <si>
    <t xml:space="preserve">MANDALORIAN MODA NOVA </t>
  </si>
  <si>
    <t xml:space="preserve">CHASE P.P </t>
  </si>
  <si>
    <t>SPADER-MAN</t>
  </si>
  <si>
    <t xml:space="preserve">TOTAL. </t>
  </si>
  <si>
    <t>TOTAL.</t>
  </si>
  <si>
    <t>TOTAL .</t>
  </si>
  <si>
    <t>HELLO KITTY</t>
  </si>
  <si>
    <t>STITCH SUMER</t>
  </si>
  <si>
    <t>STITCH ALOHA</t>
  </si>
  <si>
    <t xml:space="preserve">VACAS ANDU </t>
  </si>
  <si>
    <t xml:space="preserve">SPIDER-MAN </t>
  </si>
  <si>
    <t>QE UTENCILIOS</t>
  </si>
  <si>
    <t xml:space="preserve">NAVIDAD ANDU </t>
  </si>
  <si>
    <t xml:space="preserve">NAVIDAD  ANDU </t>
  </si>
  <si>
    <t>JESSIE</t>
  </si>
  <si>
    <t>HELLO KITTY (MUESTRA)</t>
  </si>
  <si>
    <t>NAVIDAD LINEA</t>
  </si>
  <si>
    <t>NAVIDAD ANDU</t>
  </si>
  <si>
    <t>VACAS ANDU</t>
  </si>
  <si>
    <t>AVENGERS #2</t>
  </si>
</sst>
</file>

<file path=xl/styles.xml><?xml version="1.0" encoding="utf-8"?>
<styleSheet xmlns="http://schemas.openxmlformats.org/spreadsheetml/2006/main">
  <numFmts count="3">
    <numFmt numFmtId="164" formatCode="_(* #,##0.00_);_(* \(#,##0.00\);_(* &quot;-&quot;??_);_(@_)"/>
    <numFmt numFmtId="165" formatCode="#,##0.00\ ;&quot; (&quot;#,##0.00\);&quot; -&quot;#\ ;@\ "/>
    <numFmt numFmtId="166" formatCode="0.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rgb="FF00B0F0"/>
        <bgColor indexed="22"/>
      </patternFill>
    </fill>
    <fill>
      <patternFill patternType="solid">
        <fgColor rgb="FFFFFF00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35">
    <xf numFmtId="0" fontId="0" fillId="0" borderId="0" xfId="0"/>
    <xf numFmtId="0" fontId="4" fillId="2" borderId="1" xfId="2" applyFont="1" applyFill="1" applyBorder="1" applyAlignment="1">
      <alignment horizontal="center"/>
    </xf>
    <xf numFmtId="2" fontId="4" fillId="2" borderId="1" xfId="2" applyNumberFormat="1" applyFont="1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165" fontId="2" fillId="0" borderId="1" xfId="1" applyNumberFormat="1" applyFont="1" applyFill="1" applyBorder="1" applyAlignment="1" applyProtection="1">
      <alignment horizontal="center"/>
    </xf>
    <xf numFmtId="166" fontId="2" fillId="0" borderId="1" xfId="2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2" fontId="4" fillId="3" borderId="1" xfId="2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horizontal="center"/>
    </xf>
    <xf numFmtId="14" fontId="2" fillId="4" borderId="1" xfId="2" applyNumberFormat="1" applyFont="1" applyFill="1" applyBorder="1" applyAlignment="1">
      <alignment horizontal="center"/>
    </xf>
    <xf numFmtId="2" fontId="0" fillId="0" borderId="0" xfId="0" applyNumberFormat="1"/>
    <xf numFmtId="0" fontId="0" fillId="0" borderId="1" xfId="0" applyBorder="1"/>
    <xf numFmtId="0" fontId="2" fillId="0" borderId="1" xfId="0" applyFont="1" applyBorder="1"/>
    <xf numFmtId="2" fontId="2" fillId="0" borderId="1" xfId="0" applyNumberFormat="1" applyFont="1" applyBorder="1"/>
    <xf numFmtId="0" fontId="5" fillId="0" borderId="0" xfId="0" applyFont="1"/>
    <xf numFmtId="0" fontId="4" fillId="5" borderId="1" xfId="2" applyFont="1" applyFill="1" applyBorder="1" applyAlignment="1">
      <alignment horizontal="center"/>
    </xf>
    <xf numFmtId="0" fontId="4" fillId="5" borderId="1" xfId="2" quotePrefix="1" applyFont="1" applyFill="1" applyBorder="1" applyAlignment="1">
      <alignment horizontal="center"/>
    </xf>
    <xf numFmtId="2" fontId="4" fillId="5" borderId="1" xfId="2" applyNumberFormat="1" applyFont="1" applyFill="1" applyBorder="1" applyAlignment="1">
      <alignment horizontal="center"/>
    </xf>
    <xf numFmtId="0" fontId="4" fillId="6" borderId="1" xfId="2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/>
    </xf>
    <xf numFmtId="2" fontId="0" fillId="0" borderId="1" xfId="0" applyNumberFormat="1" applyBorder="1"/>
    <xf numFmtId="2" fontId="2" fillId="7" borderId="1" xfId="0" applyNumberFormat="1" applyFont="1" applyFill="1" applyBorder="1" applyAlignment="1">
      <alignment horizontal="center" vertical="center"/>
    </xf>
    <xf numFmtId="0" fontId="0" fillId="0" borderId="0" xfId="0" quotePrefix="1"/>
    <xf numFmtId="0" fontId="2" fillId="7" borderId="1" xfId="0" applyFont="1" applyFill="1" applyBorder="1" applyAlignment="1">
      <alignment horizontal="left" indent="2"/>
    </xf>
    <xf numFmtId="0" fontId="0" fillId="7" borderId="1" xfId="0" applyFill="1" applyBorder="1" applyAlignment="1">
      <alignment horizontal="left" indent="2"/>
    </xf>
    <xf numFmtId="165" fontId="2" fillId="0" borderId="1" xfId="2" applyNumberFormat="1" applyFont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3" fontId="4" fillId="5" borderId="1" xfId="2" applyNumberFormat="1" applyFont="1" applyFill="1" applyBorder="1" applyAlignment="1">
      <alignment horizontal="center"/>
    </xf>
    <xf numFmtId="2" fontId="2" fillId="0" borderId="1" xfId="2" applyNumberFormat="1" applyFont="1" applyBorder="1" applyAlignment="1">
      <alignment horizontal="center"/>
    </xf>
    <xf numFmtId="0" fontId="4" fillId="8" borderId="1" xfId="2" applyFont="1" applyFill="1" applyBorder="1" applyAlignment="1">
      <alignment horizontal="center"/>
    </xf>
    <xf numFmtId="2" fontId="4" fillId="8" borderId="1" xfId="2" applyNumberFormat="1" applyFont="1" applyFill="1" applyBorder="1" applyAlignment="1">
      <alignment horizontal="center"/>
    </xf>
  </cellXfs>
  <cellStyles count="3">
    <cellStyle name="Excel Built-in Normal" xfId="2"/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zoomScale="90" zoomScaleNormal="90" workbookViewId="0">
      <selection activeCell="A38" sqref="A38"/>
    </sheetView>
  </sheetViews>
  <sheetFormatPr baseColWidth="10" defaultRowHeight="15"/>
  <cols>
    <col min="2" max="2" width="22.140625" customWidth="1"/>
    <col min="3" max="4" width="13.140625" customWidth="1"/>
    <col min="5" max="5" width="13.5703125" customWidth="1"/>
    <col min="6" max="6" width="12.7109375" customWidth="1"/>
    <col min="7" max="7" width="14.85546875" customWidth="1"/>
    <col min="9" max="9" width="18.28515625" customWidth="1"/>
    <col min="10" max="10" width="15.5703125" customWidth="1"/>
    <col min="11" max="11" width="14.28515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6">
        <v>46035</v>
      </c>
      <c r="B2" s="10" t="s">
        <v>15</v>
      </c>
      <c r="C2" s="3">
        <v>1</v>
      </c>
      <c r="D2" s="4">
        <v>0.6</v>
      </c>
      <c r="E2" s="5">
        <v>1.2</v>
      </c>
      <c r="F2" s="3">
        <v>280</v>
      </c>
      <c r="G2" s="3" t="s">
        <v>13</v>
      </c>
      <c r="H2" s="3">
        <f t="shared" ref="H2:H3" si="0">+D2*E2</f>
        <v>0.72</v>
      </c>
      <c r="I2" s="3">
        <f t="shared" ref="I2:I3" si="1">+H2*F2</f>
        <v>201.6</v>
      </c>
      <c r="J2" s="19">
        <v>1200</v>
      </c>
      <c r="K2" s="20">
        <f t="shared" ref="K2:K3" si="2">+J2*I2/1000</f>
        <v>241.92</v>
      </c>
    </row>
    <row r="3" spans="1:11">
      <c r="A3" s="6">
        <v>46036</v>
      </c>
      <c r="B3" s="11" t="s">
        <v>16</v>
      </c>
      <c r="C3" s="3">
        <v>1</v>
      </c>
      <c r="D3" s="4">
        <v>0.6</v>
      </c>
      <c r="E3" s="5">
        <v>1.2</v>
      </c>
      <c r="F3" s="3">
        <v>280</v>
      </c>
      <c r="G3" s="3" t="s">
        <v>13</v>
      </c>
      <c r="H3" s="3">
        <f t="shared" si="0"/>
        <v>0.72</v>
      </c>
      <c r="I3" s="3">
        <f t="shared" si="1"/>
        <v>201.6</v>
      </c>
      <c r="J3" s="18">
        <v>1200</v>
      </c>
      <c r="K3" s="20">
        <f t="shared" si="2"/>
        <v>241.92</v>
      </c>
    </row>
    <row r="4" spans="1:11">
      <c r="A4" s="6">
        <v>46036</v>
      </c>
      <c r="B4" s="7" t="s">
        <v>14</v>
      </c>
      <c r="C4" s="7">
        <v>1</v>
      </c>
      <c r="D4" s="4">
        <v>0.6</v>
      </c>
      <c r="E4" s="5">
        <v>1.2</v>
      </c>
      <c r="F4" s="3">
        <v>280</v>
      </c>
      <c r="G4" s="3" t="s">
        <v>13</v>
      </c>
      <c r="H4" s="3">
        <f t="shared" ref="H4:H23" si="3">+D4*E4</f>
        <v>0.72</v>
      </c>
      <c r="I4" s="3">
        <f t="shared" ref="I4:I23" si="4">+H4*F4</f>
        <v>201.6</v>
      </c>
      <c r="J4" s="18">
        <v>345</v>
      </c>
      <c r="K4" s="20">
        <f t="shared" ref="K4:K23" si="5">+J4*I4/1000</f>
        <v>69.552000000000007</v>
      </c>
    </row>
    <row r="5" spans="1:11">
      <c r="A5" s="6">
        <v>46037</v>
      </c>
      <c r="B5" s="7" t="s">
        <v>14</v>
      </c>
      <c r="C5" s="3">
        <v>1</v>
      </c>
      <c r="D5" s="4">
        <v>0.6</v>
      </c>
      <c r="E5" s="5">
        <v>1.2</v>
      </c>
      <c r="F5" s="3">
        <v>280</v>
      </c>
      <c r="G5" s="3" t="s">
        <v>13</v>
      </c>
      <c r="H5" s="3">
        <f t="shared" si="3"/>
        <v>0.72</v>
      </c>
      <c r="I5" s="3">
        <f t="shared" si="4"/>
        <v>201.6</v>
      </c>
      <c r="J5" s="18">
        <v>285</v>
      </c>
      <c r="K5" s="20">
        <f t="shared" si="5"/>
        <v>57.456000000000003</v>
      </c>
    </row>
    <row r="6" spans="1:11">
      <c r="A6" s="6">
        <v>46037</v>
      </c>
      <c r="B6" s="3" t="s">
        <v>17</v>
      </c>
      <c r="C6" s="3">
        <v>1</v>
      </c>
      <c r="D6" s="4">
        <v>0.6</v>
      </c>
      <c r="E6" s="5">
        <v>1.2</v>
      </c>
      <c r="F6" s="3">
        <v>280</v>
      </c>
      <c r="G6" s="3" t="s">
        <v>13</v>
      </c>
      <c r="H6" s="3">
        <f t="shared" ref="H6:H7" si="6">+D6*E6</f>
        <v>0.72</v>
      </c>
      <c r="I6" s="3">
        <f t="shared" ref="I6:I7" si="7">+H6*F6</f>
        <v>201.6</v>
      </c>
      <c r="J6" s="18">
        <v>400</v>
      </c>
      <c r="K6" s="20">
        <f t="shared" ref="K6:K7" si="8">+J6*I6/1000</f>
        <v>80.64</v>
      </c>
    </row>
    <row r="7" spans="1:11">
      <c r="A7" s="6">
        <v>46038</v>
      </c>
      <c r="B7" s="3" t="s">
        <v>21</v>
      </c>
      <c r="C7" s="3">
        <v>1</v>
      </c>
      <c r="D7" s="4">
        <v>0.6</v>
      </c>
      <c r="E7" s="5">
        <v>1.2</v>
      </c>
      <c r="F7" s="3">
        <v>280</v>
      </c>
      <c r="G7" s="3" t="s">
        <v>13</v>
      </c>
      <c r="H7" s="3">
        <f t="shared" si="6"/>
        <v>0.72</v>
      </c>
      <c r="I7" s="3">
        <f t="shared" si="7"/>
        <v>201.6</v>
      </c>
      <c r="J7" s="18">
        <v>1200</v>
      </c>
      <c r="K7" s="20">
        <f t="shared" si="8"/>
        <v>241.92</v>
      </c>
    </row>
    <row r="8" spans="1:11">
      <c r="A8" s="6">
        <v>46038</v>
      </c>
      <c r="B8" s="3" t="s">
        <v>18</v>
      </c>
      <c r="C8" s="3">
        <v>1</v>
      </c>
      <c r="D8" s="4">
        <v>0.6</v>
      </c>
      <c r="E8" s="5">
        <v>1.2</v>
      </c>
      <c r="F8" s="3">
        <v>280</v>
      </c>
      <c r="G8" s="3" t="s">
        <v>13</v>
      </c>
      <c r="H8" s="3">
        <f t="shared" ref="H8" si="9">+D8*E8</f>
        <v>0.72</v>
      </c>
      <c r="I8" s="3">
        <f t="shared" ref="I8" si="10">+H8*F8</f>
        <v>201.6</v>
      </c>
      <c r="J8" s="18">
        <v>1200</v>
      </c>
      <c r="K8" s="20">
        <f t="shared" ref="K8" si="11">+J8*I8/1000</f>
        <v>241.92</v>
      </c>
    </row>
    <row r="9" spans="1:11">
      <c r="A9" s="6">
        <v>46039</v>
      </c>
      <c r="B9" s="3" t="s">
        <v>22</v>
      </c>
      <c r="C9" s="7">
        <v>1</v>
      </c>
      <c r="D9" s="4">
        <v>0.6</v>
      </c>
      <c r="E9" s="5">
        <v>1.2</v>
      </c>
      <c r="F9" s="3">
        <v>320</v>
      </c>
      <c r="G9" s="3" t="s">
        <v>10</v>
      </c>
      <c r="H9" s="3">
        <f t="shared" si="3"/>
        <v>0.72</v>
      </c>
      <c r="I9" s="3">
        <f t="shared" si="4"/>
        <v>230.39999999999998</v>
      </c>
      <c r="J9" s="18">
        <v>1050</v>
      </c>
      <c r="K9" s="20">
        <f t="shared" si="5"/>
        <v>241.91999999999996</v>
      </c>
    </row>
    <row r="10" spans="1:11">
      <c r="A10" s="6">
        <v>46039</v>
      </c>
      <c r="B10" s="6" t="s">
        <v>23</v>
      </c>
      <c r="C10" s="3">
        <v>1</v>
      </c>
      <c r="D10" s="4">
        <v>0.6</v>
      </c>
      <c r="E10" s="5">
        <v>1.2</v>
      </c>
      <c r="F10" s="3">
        <v>280</v>
      </c>
      <c r="G10" s="3" t="s">
        <v>13</v>
      </c>
      <c r="H10" s="3">
        <f t="shared" si="3"/>
        <v>0.72</v>
      </c>
      <c r="I10" s="3">
        <f t="shared" si="4"/>
        <v>201.6</v>
      </c>
      <c r="J10" s="18">
        <v>516</v>
      </c>
      <c r="K10" s="20">
        <f t="shared" si="5"/>
        <v>104.0256</v>
      </c>
    </row>
    <row r="11" spans="1:11">
      <c r="A11" s="6">
        <v>46042</v>
      </c>
      <c r="B11" s="6" t="s">
        <v>23</v>
      </c>
      <c r="C11" s="3">
        <v>1</v>
      </c>
      <c r="D11" s="4">
        <v>0.6</v>
      </c>
      <c r="E11" s="5">
        <v>1.2</v>
      </c>
      <c r="F11" s="3">
        <v>280</v>
      </c>
      <c r="G11" s="3" t="s">
        <v>13</v>
      </c>
      <c r="H11" s="3">
        <f t="shared" ref="H11:H12" si="12">+D11*E11</f>
        <v>0.72</v>
      </c>
      <c r="I11" s="3">
        <f t="shared" ref="I11:I12" si="13">+H11*F11</f>
        <v>201.6</v>
      </c>
      <c r="J11" s="18">
        <v>684</v>
      </c>
      <c r="K11" s="20">
        <f t="shared" ref="K11:K12" si="14">+J11*I11/1000</f>
        <v>137.89439999999999</v>
      </c>
    </row>
    <row r="12" spans="1:11">
      <c r="A12" s="6">
        <v>46042</v>
      </c>
      <c r="B12" s="3" t="s">
        <v>24</v>
      </c>
      <c r="C12" s="3">
        <v>1</v>
      </c>
      <c r="D12" s="4">
        <v>0.35</v>
      </c>
      <c r="E12" s="5">
        <v>0.6</v>
      </c>
      <c r="F12" s="3">
        <v>330</v>
      </c>
      <c r="G12" s="3" t="s">
        <v>10</v>
      </c>
      <c r="H12" s="3">
        <f t="shared" si="12"/>
        <v>0.21</v>
      </c>
      <c r="I12" s="3">
        <f t="shared" si="13"/>
        <v>69.3</v>
      </c>
      <c r="J12" s="18">
        <v>2230</v>
      </c>
      <c r="K12" s="20">
        <f t="shared" si="14"/>
        <v>154.53899999999999</v>
      </c>
    </row>
    <row r="13" spans="1:11">
      <c r="A13" s="6">
        <v>46043</v>
      </c>
      <c r="B13" s="3" t="s">
        <v>24</v>
      </c>
      <c r="C13" s="3">
        <v>1</v>
      </c>
      <c r="D13" s="4">
        <v>0.35</v>
      </c>
      <c r="E13" s="5">
        <v>0.6</v>
      </c>
      <c r="F13" s="3">
        <v>330</v>
      </c>
      <c r="G13" s="3" t="s">
        <v>10</v>
      </c>
      <c r="H13" s="3">
        <f t="shared" ref="H13" si="15">+D13*E13</f>
        <v>0.21</v>
      </c>
      <c r="I13" s="3">
        <f t="shared" ref="I13" si="16">+H13*F13</f>
        <v>69.3</v>
      </c>
      <c r="J13" s="18">
        <v>1770</v>
      </c>
      <c r="K13" s="20">
        <f t="shared" ref="K13" si="17">+J13*I13/1000</f>
        <v>122.661</v>
      </c>
    </row>
    <row r="14" spans="1:11">
      <c r="A14" s="6">
        <v>46043</v>
      </c>
      <c r="B14" s="3" t="s">
        <v>19</v>
      </c>
      <c r="C14" s="3">
        <v>1</v>
      </c>
      <c r="D14" s="4">
        <v>0.35</v>
      </c>
      <c r="E14" s="5">
        <v>0.6</v>
      </c>
      <c r="F14" s="3">
        <v>330</v>
      </c>
      <c r="G14" s="3" t="s">
        <v>10</v>
      </c>
      <c r="H14" s="3">
        <f t="shared" ref="H14:H15" si="18">+D14*E14</f>
        <v>0.21</v>
      </c>
      <c r="I14" s="3">
        <f t="shared" ref="I14:I15" si="19">+H14*F14</f>
        <v>69.3</v>
      </c>
      <c r="J14" s="18">
        <v>4000</v>
      </c>
      <c r="K14" s="20">
        <f t="shared" ref="K14:K15" si="20">+J14*I14/1000</f>
        <v>277.2</v>
      </c>
    </row>
    <row r="15" spans="1:11">
      <c r="A15" s="6">
        <v>46043</v>
      </c>
      <c r="B15" s="3" t="s">
        <v>22</v>
      </c>
      <c r="C15" s="7">
        <v>1</v>
      </c>
      <c r="D15" s="4">
        <v>0.6</v>
      </c>
      <c r="E15" s="5">
        <v>1.2</v>
      </c>
      <c r="F15" s="3">
        <v>320</v>
      </c>
      <c r="G15" s="3" t="s">
        <v>10</v>
      </c>
      <c r="H15" s="3">
        <f t="shared" si="18"/>
        <v>0.72</v>
      </c>
      <c r="I15" s="3">
        <f t="shared" si="19"/>
        <v>230.39999999999998</v>
      </c>
      <c r="J15" s="18">
        <v>387</v>
      </c>
      <c r="K15" s="20">
        <f t="shared" si="20"/>
        <v>89.164799999999985</v>
      </c>
    </row>
    <row r="16" spans="1:11">
      <c r="A16" s="6">
        <v>46044</v>
      </c>
      <c r="B16" s="3" t="s">
        <v>22</v>
      </c>
      <c r="C16" s="7">
        <v>1</v>
      </c>
      <c r="D16" s="4">
        <v>0.6</v>
      </c>
      <c r="E16" s="5">
        <v>1.2</v>
      </c>
      <c r="F16" s="3">
        <v>320</v>
      </c>
      <c r="G16" s="3" t="s">
        <v>10</v>
      </c>
      <c r="H16" s="3">
        <f t="shared" ref="H16:H17" si="21">+D16*E16</f>
        <v>0.72</v>
      </c>
      <c r="I16" s="3">
        <f t="shared" ref="I16:I17" si="22">+H16*F16</f>
        <v>230.39999999999998</v>
      </c>
      <c r="J16" s="18">
        <v>960</v>
      </c>
      <c r="K16" s="20">
        <f t="shared" ref="K16:K17" si="23">+J16*I16/1000</f>
        <v>221.18399999999997</v>
      </c>
    </row>
    <row r="17" spans="1:11">
      <c r="A17" s="6">
        <v>46044</v>
      </c>
      <c r="B17" s="3" t="s">
        <v>25</v>
      </c>
      <c r="C17" s="7">
        <v>1</v>
      </c>
      <c r="D17" s="4">
        <v>0.6</v>
      </c>
      <c r="E17" s="5">
        <v>1.2</v>
      </c>
      <c r="F17" s="3">
        <v>320</v>
      </c>
      <c r="G17" s="3" t="s">
        <v>10</v>
      </c>
      <c r="H17" s="3">
        <f t="shared" si="21"/>
        <v>0.72</v>
      </c>
      <c r="I17" s="3">
        <f t="shared" si="22"/>
        <v>230.39999999999998</v>
      </c>
      <c r="J17" s="18">
        <v>963</v>
      </c>
      <c r="K17" s="20">
        <f t="shared" si="23"/>
        <v>221.87519999999998</v>
      </c>
    </row>
    <row r="18" spans="1:11">
      <c r="A18" s="6">
        <v>46044</v>
      </c>
      <c r="B18" s="6" t="s">
        <v>26</v>
      </c>
      <c r="C18" s="3">
        <v>1</v>
      </c>
      <c r="D18" s="4">
        <v>0.3</v>
      </c>
      <c r="E18" s="5">
        <v>0.5</v>
      </c>
      <c r="F18" s="3">
        <v>300</v>
      </c>
      <c r="G18" s="3" t="s">
        <v>10</v>
      </c>
      <c r="H18" s="3">
        <f t="shared" si="3"/>
        <v>0.15</v>
      </c>
      <c r="I18" s="3">
        <f t="shared" si="4"/>
        <v>45</v>
      </c>
      <c r="J18" s="18">
        <v>2640</v>
      </c>
      <c r="K18" s="20">
        <f t="shared" si="5"/>
        <v>118.8</v>
      </c>
    </row>
    <row r="19" spans="1:11">
      <c r="A19" s="6">
        <v>46045</v>
      </c>
      <c r="B19" s="6" t="s">
        <v>26</v>
      </c>
      <c r="C19" s="3">
        <v>1</v>
      </c>
      <c r="D19" s="4">
        <v>0.3</v>
      </c>
      <c r="E19" s="5">
        <v>0.5</v>
      </c>
      <c r="F19" s="3">
        <v>300</v>
      </c>
      <c r="G19" s="3" t="s">
        <v>10</v>
      </c>
      <c r="H19" s="3">
        <f t="shared" ref="H19:H21" si="24">+D19*E19</f>
        <v>0.15</v>
      </c>
      <c r="I19" s="3">
        <f t="shared" ref="I19:I21" si="25">+H19*F19</f>
        <v>45</v>
      </c>
      <c r="J19" s="18">
        <v>1278</v>
      </c>
      <c r="K19" s="20">
        <f t="shared" ref="K19:K21" si="26">+J19*I19/1000</f>
        <v>57.51</v>
      </c>
    </row>
    <row r="20" spans="1:11">
      <c r="A20" s="6">
        <v>46045</v>
      </c>
      <c r="B20" s="3" t="s">
        <v>27</v>
      </c>
      <c r="C20" s="3">
        <v>1</v>
      </c>
      <c r="D20" s="4">
        <v>0.35</v>
      </c>
      <c r="E20" s="5">
        <v>0.6</v>
      </c>
      <c r="F20" s="3">
        <v>330</v>
      </c>
      <c r="G20" s="3" t="s">
        <v>10</v>
      </c>
      <c r="H20" s="3">
        <f t="shared" si="24"/>
        <v>0.21</v>
      </c>
      <c r="I20" s="3">
        <f t="shared" si="25"/>
        <v>69.3</v>
      </c>
      <c r="J20" s="18">
        <v>2000</v>
      </c>
      <c r="K20" s="20">
        <f t="shared" si="26"/>
        <v>138.6</v>
      </c>
    </row>
    <row r="21" spans="1:11">
      <c r="A21" s="6">
        <v>46045</v>
      </c>
      <c r="B21" s="3" t="s">
        <v>12</v>
      </c>
      <c r="C21" s="3">
        <v>1</v>
      </c>
      <c r="D21" s="4">
        <v>0.35</v>
      </c>
      <c r="E21" s="5">
        <v>0.6</v>
      </c>
      <c r="F21" s="3">
        <v>330</v>
      </c>
      <c r="G21" s="3" t="s">
        <v>10</v>
      </c>
      <c r="H21" s="3">
        <f t="shared" si="24"/>
        <v>0.21</v>
      </c>
      <c r="I21" s="3">
        <f t="shared" si="25"/>
        <v>69.3</v>
      </c>
      <c r="J21" s="18">
        <v>2000</v>
      </c>
      <c r="K21" s="20">
        <f t="shared" si="26"/>
        <v>138.6</v>
      </c>
    </row>
    <row r="22" spans="1:11">
      <c r="A22" s="6">
        <v>46046</v>
      </c>
      <c r="B22" s="11" t="s">
        <v>11</v>
      </c>
      <c r="C22" s="3">
        <v>1</v>
      </c>
      <c r="D22" s="4">
        <v>0.6</v>
      </c>
      <c r="E22" s="5">
        <v>1.2</v>
      </c>
      <c r="F22" s="3">
        <v>280</v>
      </c>
      <c r="G22" s="3" t="s">
        <v>13</v>
      </c>
      <c r="H22" s="3">
        <f t="shared" si="3"/>
        <v>0.72</v>
      </c>
      <c r="I22" s="3">
        <f t="shared" si="4"/>
        <v>201.6</v>
      </c>
      <c r="J22" s="18">
        <v>1200</v>
      </c>
      <c r="K22" s="20">
        <f t="shared" si="5"/>
        <v>241.92</v>
      </c>
    </row>
    <row r="23" spans="1:11">
      <c r="A23" s="6">
        <v>46046</v>
      </c>
      <c r="B23" s="12" t="s">
        <v>20</v>
      </c>
      <c r="C23" s="7">
        <v>1</v>
      </c>
      <c r="D23" s="4">
        <v>0.6</v>
      </c>
      <c r="E23" s="5">
        <v>1.2</v>
      </c>
      <c r="F23" s="3">
        <v>320</v>
      </c>
      <c r="G23" s="3" t="s">
        <v>10</v>
      </c>
      <c r="H23" s="3">
        <f t="shared" si="3"/>
        <v>0.72</v>
      </c>
      <c r="I23" s="3">
        <f t="shared" si="4"/>
        <v>230.39999999999998</v>
      </c>
      <c r="J23" s="18">
        <v>987</v>
      </c>
      <c r="K23" s="20">
        <f t="shared" si="5"/>
        <v>227.40479999999999</v>
      </c>
    </row>
    <row r="24" spans="1:11">
      <c r="A24" s="6">
        <v>46049</v>
      </c>
      <c r="B24" s="12" t="s">
        <v>20</v>
      </c>
      <c r="C24" s="7">
        <v>1</v>
      </c>
      <c r="D24" s="4">
        <v>0.6</v>
      </c>
      <c r="E24" s="5">
        <v>1.2</v>
      </c>
      <c r="F24" s="3">
        <v>320</v>
      </c>
      <c r="G24" s="3" t="s">
        <v>10</v>
      </c>
      <c r="H24" s="3">
        <f t="shared" ref="H24" si="27">+D24*E24</f>
        <v>0.72</v>
      </c>
      <c r="I24" s="3">
        <f t="shared" ref="I24" si="28">+H24*F24</f>
        <v>230.39999999999998</v>
      </c>
      <c r="J24" s="18">
        <v>3978</v>
      </c>
      <c r="K24" s="20">
        <f t="shared" ref="K24" si="29">+J24*I24/1000</f>
        <v>916.5311999999999</v>
      </c>
    </row>
    <row r="25" spans="1:11">
      <c r="A25" s="6">
        <v>46050</v>
      </c>
      <c r="B25" s="12" t="s">
        <v>20</v>
      </c>
      <c r="C25" s="7">
        <v>1</v>
      </c>
      <c r="D25" s="4">
        <v>0.6</v>
      </c>
      <c r="E25" s="5">
        <v>1.2</v>
      </c>
      <c r="F25" s="3">
        <v>320</v>
      </c>
      <c r="G25" s="3" t="s">
        <v>10</v>
      </c>
      <c r="H25" s="3">
        <f t="shared" ref="H25:H27" si="30">+D25*E25</f>
        <v>0.72</v>
      </c>
      <c r="I25" s="3">
        <f t="shared" ref="I25:I27" si="31">+H25*F25</f>
        <v>230.39999999999998</v>
      </c>
      <c r="J25" s="18">
        <v>3273</v>
      </c>
      <c r="K25" s="20">
        <f t="shared" ref="K25:K27" si="32">+J25*I25/1000</f>
        <v>754.0992</v>
      </c>
    </row>
    <row r="26" spans="1:11">
      <c r="A26" s="6">
        <v>46051</v>
      </c>
      <c r="B26" s="12" t="s">
        <v>20</v>
      </c>
      <c r="C26" s="7">
        <v>1</v>
      </c>
      <c r="D26" s="4">
        <v>0.6</v>
      </c>
      <c r="E26" s="5">
        <v>1.2</v>
      </c>
      <c r="F26" s="3">
        <v>320</v>
      </c>
      <c r="G26" s="3" t="s">
        <v>10</v>
      </c>
      <c r="H26" s="3">
        <f t="shared" si="30"/>
        <v>0.72</v>
      </c>
      <c r="I26" s="3">
        <f t="shared" si="31"/>
        <v>230.39999999999998</v>
      </c>
      <c r="J26" s="18">
        <v>2268</v>
      </c>
      <c r="K26" s="20">
        <f t="shared" si="32"/>
        <v>522.54719999999998</v>
      </c>
    </row>
    <row r="27" spans="1:11">
      <c r="A27" s="6">
        <v>46051</v>
      </c>
      <c r="B27" s="3" t="s">
        <v>21</v>
      </c>
      <c r="C27" s="3">
        <v>1</v>
      </c>
      <c r="D27" s="4">
        <v>0.6</v>
      </c>
      <c r="E27" s="5">
        <v>1.2</v>
      </c>
      <c r="F27" s="3">
        <v>280</v>
      </c>
      <c r="G27" s="3" t="s">
        <v>13</v>
      </c>
      <c r="H27" s="3">
        <f t="shared" si="30"/>
        <v>0.72</v>
      </c>
      <c r="I27" s="3">
        <f t="shared" si="31"/>
        <v>201.6</v>
      </c>
      <c r="J27" s="18">
        <v>405</v>
      </c>
      <c r="K27" s="20">
        <f t="shared" si="32"/>
        <v>81.647999999999996</v>
      </c>
    </row>
    <row r="28" spans="1:11">
      <c r="A28" s="6">
        <v>46052</v>
      </c>
      <c r="B28" s="3" t="s">
        <v>21</v>
      </c>
      <c r="C28" s="3">
        <v>1</v>
      </c>
      <c r="D28" s="4">
        <v>0.6</v>
      </c>
      <c r="E28" s="5">
        <v>1.2</v>
      </c>
      <c r="F28" s="3">
        <v>280</v>
      </c>
      <c r="G28" s="3" t="s">
        <v>13</v>
      </c>
      <c r="H28" s="3">
        <f t="shared" ref="H28:H29" si="33">+D28*E28</f>
        <v>0.72</v>
      </c>
      <c r="I28" s="3">
        <f t="shared" ref="I28:I29" si="34">+H28*F28</f>
        <v>201.6</v>
      </c>
      <c r="J28" s="18">
        <v>795</v>
      </c>
      <c r="K28" s="20">
        <f t="shared" ref="K28:K29" si="35">+J28*I28/1000</f>
        <v>160.27199999999999</v>
      </c>
    </row>
    <row r="29" spans="1:11">
      <c r="A29" s="6">
        <v>46052</v>
      </c>
      <c r="B29" s="3" t="s">
        <v>18</v>
      </c>
      <c r="C29" s="3">
        <v>1</v>
      </c>
      <c r="D29" s="4">
        <v>0.6</v>
      </c>
      <c r="E29" s="5">
        <v>1.2</v>
      </c>
      <c r="F29" s="3">
        <v>280</v>
      </c>
      <c r="G29" s="3" t="s">
        <v>13</v>
      </c>
      <c r="H29" s="3">
        <f t="shared" si="33"/>
        <v>0.72</v>
      </c>
      <c r="I29" s="3">
        <f t="shared" si="34"/>
        <v>201.6</v>
      </c>
      <c r="J29" s="18">
        <v>1038</v>
      </c>
      <c r="K29" s="20">
        <f t="shared" si="35"/>
        <v>209.26079999999999</v>
      </c>
    </row>
    <row r="30" spans="1:11">
      <c r="A30" s="6">
        <v>46053</v>
      </c>
      <c r="B30" s="3" t="s">
        <v>18</v>
      </c>
      <c r="C30" s="3">
        <v>1</v>
      </c>
      <c r="D30" s="4">
        <v>0.6</v>
      </c>
      <c r="E30" s="5">
        <v>1.2</v>
      </c>
      <c r="F30" s="3">
        <v>280</v>
      </c>
      <c r="G30" s="3" t="s">
        <v>13</v>
      </c>
      <c r="H30" s="3">
        <f t="shared" ref="H30" si="36">+D30*E30</f>
        <v>0.72</v>
      </c>
      <c r="I30" s="3">
        <f t="shared" ref="I30" si="37">+H30*F30</f>
        <v>201.6</v>
      </c>
      <c r="J30" s="18">
        <v>1362</v>
      </c>
      <c r="K30" s="20">
        <f>+J30*I30/1000</f>
        <v>274.57920000000001</v>
      </c>
    </row>
    <row r="31" spans="1:11">
      <c r="A31" s="6"/>
      <c r="B31" s="3"/>
      <c r="C31" s="3"/>
      <c r="D31" s="4"/>
      <c r="E31" s="5"/>
      <c r="F31" s="3"/>
      <c r="G31" s="3"/>
      <c r="H31" s="3"/>
      <c r="I31" s="3"/>
      <c r="J31" s="18"/>
      <c r="K31" s="20"/>
    </row>
    <row r="32" spans="1:11">
      <c r="A32" s="6"/>
      <c r="B32" s="3"/>
      <c r="C32" s="3"/>
      <c r="D32" s="4"/>
      <c r="E32" s="5"/>
      <c r="F32" s="3"/>
      <c r="G32" s="3"/>
      <c r="H32" s="3"/>
      <c r="I32" s="3"/>
      <c r="J32" s="18"/>
      <c r="K32" s="20"/>
    </row>
    <row r="33" spans="1:11">
      <c r="A33" s="6"/>
      <c r="B33" s="3"/>
      <c r="C33" s="3"/>
      <c r="D33" s="4"/>
      <c r="E33" s="5"/>
      <c r="F33" s="3"/>
      <c r="G33" s="3"/>
      <c r="H33" s="3"/>
      <c r="I33" s="3"/>
      <c r="J33" s="8"/>
      <c r="K33" s="9"/>
    </row>
    <row r="34" spans="1:11">
      <c r="A34" s="6"/>
      <c r="B34" s="3"/>
      <c r="C34" s="3"/>
      <c r="D34" s="4"/>
      <c r="E34" s="5"/>
      <c r="F34" s="3"/>
      <c r="G34" s="3"/>
      <c r="H34" s="3"/>
      <c r="I34" s="3"/>
      <c r="J34" s="8"/>
      <c r="K34" s="9"/>
    </row>
    <row r="35" spans="1:11">
      <c r="A35" s="6"/>
      <c r="B35" s="3"/>
      <c r="C35" s="3"/>
      <c r="D35" s="4"/>
      <c r="E35" s="5"/>
      <c r="F35" s="3"/>
      <c r="G35" s="3"/>
      <c r="H35" s="3"/>
      <c r="I35" s="3"/>
      <c r="J35" s="8"/>
      <c r="K35" s="9"/>
    </row>
    <row r="36" spans="1:11">
      <c r="A36" s="6"/>
      <c r="B36" s="3"/>
      <c r="C36" s="3"/>
      <c r="D36" s="4"/>
      <c r="E36" s="5"/>
      <c r="F36" s="3"/>
      <c r="G36" s="3"/>
      <c r="H36" s="3"/>
      <c r="I36" s="3"/>
      <c r="J36" s="8"/>
      <c r="K36" s="9"/>
    </row>
    <row r="37" spans="1:11">
      <c r="A37" s="6"/>
      <c r="B37" s="3"/>
      <c r="C37" s="3"/>
      <c r="D37" s="4"/>
      <c r="E37" s="5"/>
      <c r="F37" s="3"/>
      <c r="G37" s="3"/>
      <c r="H37" s="3"/>
      <c r="I37" s="3"/>
      <c r="J37" s="8"/>
      <c r="K37" s="9"/>
    </row>
    <row r="38" spans="1:11">
      <c r="A38" s="6" t="s">
        <v>99</v>
      </c>
      <c r="B38" s="3"/>
      <c r="C38" s="3"/>
      <c r="D38" s="4"/>
      <c r="E38" s="5"/>
      <c r="F38" s="3"/>
      <c r="G38" s="3"/>
      <c r="H38" s="3"/>
      <c r="I38" s="3"/>
      <c r="J38" s="8">
        <f>SUM(J2:J37)</f>
        <v>41614</v>
      </c>
      <c r="K38" s="9">
        <f>SUM(K2:K37)</f>
        <v>6587.5643999999993</v>
      </c>
    </row>
  </sheetData>
  <autoFilter ref="A1:K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"/>
  <sheetViews>
    <sheetView zoomScale="90" zoomScaleNormal="90" workbookViewId="0">
      <selection activeCell="M1" sqref="M1"/>
    </sheetView>
  </sheetViews>
  <sheetFormatPr baseColWidth="10" defaultRowHeight="15"/>
  <cols>
    <col min="1" max="1" width="11.28515625" customWidth="1"/>
    <col min="2" max="2" width="20.28515625" customWidth="1"/>
    <col min="3" max="3" width="13.7109375" customWidth="1"/>
    <col min="4" max="4" width="15.85546875" customWidth="1"/>
    <col min="5" max="5" width="18" customWidth="1"/>
    <col min="6" max="6" width="14.5703125" customWidth="1"/>
    <col min="7" max="7" width="15.5703125" customWidth="1"/>
    <col min="9" max="9" width="18.5703125" customWidth="1"/>
    <col min="10" max="10" width="15.5703125" customWidth="1"/>
    <col min="11" max="11" width="14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2">
      <c r="A2" s="6">
        <v>46056</v>
      </c>
      <c r="B2" s="10" t="s">
        <v>28</v>
      </c>
      <c r="C2" s="3">
        <v>1</v>
      </c>
      <c r="D2" s="4">
        <v>0.6</v>
      </c>
      <c r="E2" s="5">
        <v>1.2</v>
      </c>
      <c r="F2" s="3">
        <v>280</v>
      </c>
      <c r="G2" s="3" t="s">
        <v>13</v>
      </c>
      <c r="H2" s="3">
        <f t="shared" ref="H2" si="0">+D2*E2</f>
        <v>0.72</v>
      </c>
      <c r="I2" s="3">
        <f t="shared" ref="I2" si="1">+H2*F2</f>
        <v>201.6</v>
      </c>
      <c r="J2" s="19">
        <v>1362</v>
      </c>
      <c r="K2" s="20">
        <f t="shared" ref="K2" si="2">+J2*I2/1000</f>
        <v>274.57920000000001</v>
      </c>
    </row>
    <row r="3" spans="1:12">
      <c r="A3" s="6">
        <v>46058</v>
      </c>
      <c r="B3" s="10" t="s">
        <v>29</v>
      </c>
      <c r="C3" s="3">
        <v>1</v>
      </c>
      <c r="D3" s="4">
        <v>0.6</v>
      </c>
      <c r="E3" s="5">
        <v>1.2</v>
      </c>
      <c r="F3" s="3">
        <v>280</v>
      </c>
      <c r="G3" s="3" t="s">
        <v>13</v>
      </c>
      <c r="H3" s="3">
        <f t="shared" ref="H3" si="3">+D3*E3</f>
        <v>0.72</v>
      </c>
      <c r="I3" s="3">
        <f t="shared" ref="I3" si="4">+H3*F3</f>
        <v>201.6</v>
      </c>
      <c r="J3" s="19">
        <v>1200</v>
      </c>
      <c r="K3" s="20">
        <f t="shared" ref="K3" si="5">+J3*I3/1000</f>
        <v>241.92</v>
      </c>
    </row>
    <row r="4" spans="1:12">
      <c r="A4" s="6">
        <v>46058</v>
      </c>
      <c r="B4" s="10" t="s">
        <v>30</v>
      </c>
      <c r="C4" s="3">
        <v>1</v>
      </c>
      <c r="D4" s="4">
        <v>0.6</v>
      </c>
      <c r="E4" s="5">
        <v>1.2</v>
      </c>
      <c r="F4" s="3">
        <v>280</v>
      </c>
      <c r="G4" s="3" t="s">
        <v>13</v>
      </c>
      <c r="H4" s="3">
        <f t="shared" ref="H4" si="6">+D4*E4</f>
        <v>0.72</v>
      </c>
      <c r="I4" s="3">
        <f t="shared" ref="I4" si="7">+H4*F4</f>
        <v>201.6</v>
      </c>
      <c r="J4" s="19">
        <v>390</v>
      </c>
      <c r="K4" s="20">
        <f t="shared" ref="K4" si="8">+J4*I4/1000</f>
        <v>78.623999999999995</v>
      </c>
    </row>
    <row r="5" spans="1:12">
      <c r="A5" s="6">
        <v>46059</v>
      </c>
      <c r="B5" s="10" t="s">
        <v>30</v>
      </c>
      <c r="C5" s="3">
        <v>1</v>
      </c>
      <c r="D5" s="4">
        <v>0.6</v>
      </c>
      <c r="E5" s="5">
        <v>1.2</v>
      </c>
      <c r="F5" s="3">
        <v>280</v>
      </c>
      <c r="G5" s="3" t="s">
        <v>13</v>
      </c>
      <c r="H5" s="3">
        <f t="shared" ref="H5" si="9">+D5*E5</f>
        <v>0.72</v>
      </c>
      <c r="I5" s="3">
        <f t="shared" ref="I5" si="10">+H5*F5</f>
        <v>201.6</v>
      </c>
      <c r="J5" s="19">
        <v>1305</v>
      </c>
      <c r="K5" s="20">
        <f t="shared" ref="K5" si="11">+J5*I5/1000</f>
        <v>263.08800000000002</v>
      </c>
    </row>
    <row r="6" spans="1:12">
      <c r="A6" s="6">
        <v>46060</v>
      </c>
      <c r="B6" s="10" t="s">
        <v>30</v>
      </c>
      <c r="C6" s="3">
        <v>1</v>
      </c>
      <c r="D6" s="4">
        <v>0.6</v>
      </c>
      <c r="E6" s="5">
        <v>1.2</v>
      </c>
      <c r="F6" s="3">
        <v>280</v>
      </c>
      <c r="G6" s="3" t="s">
        <v>13</v>
      </c>
      <c r="H6" s="3">
        <f t="shared" ref="H6" si="12">+D6*E6</f>
        <v>0.72</v>
      </c>
      <c r="I6" s="3">
        <f t="shared" ref="I6" si="13">+H6*F6</f>
        <v>201.6</v>
      </c>
      <c r="J6" s="19">
        <v>705</v>
      </c>
      <c r="K6" s="20">
        <f t="shared" ref="K6" si="14">+J6*I6/1000</f>
        <v>142.12799999999999</v>
      </c>
    </row>
    <row r="7" spans="1:12">
      <c r="A7" s="6">
        <v>46060</v>
      </c>
      <c r="B7" s="10" t="s">
        <v>14</v>
      </c>
      <c r="C7" s="3">
        <v>1</v>
      </c>
      <c r="D7" s="4">
        <v>0.6</v>
      </c>
      <c r="E7" s="5">
        <v>1.2</v>
      </c>
      <c r="F7" s="3">
        <v>280</v>
      </c>
      <c r="G7" s="3" t="s">
        <v>13</v>
      </c>
      <c r="H7" s="3">
        <f t="shared" ref="H7:H9" si="15">+D7*E7</f>
        <v>0.72</v>
      </c>
      <c r="I7" s="3">
        <f t="shared" ref="I7:I9" si="16">+H7*F7</f>
        <v>201.6</v>
      </c>
      <c r="J7" s="19">
        <v>900</v>
      </c>
      <c r="K7" s="20">
        <f t="shared" ref="K7:K9" si="17">+J7*I7/1000</f>
        <v>181.44</v>
      </c>
    </row>
    <row r="8" spans="1:12">
      <c r="A8" s="6">
        <v>46063</v>
      </c>
      <c r="B8" s="10" t="s">
        <v>14</v>
      </c>
      <c r="C8" s="3">
        <v>1</v>
      </c>
      <c r="D8" s="4">
        <v>0.6</v>
      </c>
      <c r="E8" s="5">
        <v>1.2</v>
      </c>
      <c r="F8" s="3">
        <v>280</v>
      </c>
      <c r="G8" s="3" t="s">
        <v>13</v>
      </c>
      <c r="H8" s="3">
        <f t="shared" si="15"/>
        <v>0.72</v>
      </c>
      <c r="I8" s="3">
        <f t="shared" si="16"/>
        <v>201.6</v>
      </c>
      <c r="J8" s="19">
        <v>1500</v>
      </c>
      <c r="K8" s="20">
        <f t="shared" si="17"/>
        <v>302.39999999999998</v>
      </c>
    </row>
    <row r="9" spans="1:12">
      <c r="A9" s="6">
        <v>46063</v>
      </c>
      <c r="B9" s="10" t="s">
        <v>31</v>
      </c>
      <c r="C9" s="3">
        <v>1</v>
      </c>
      <c r="D9" s="4">
        <v>0.6</v>
      </c>
      <c r="E9" s="5">
        <v>1.2</v>
      </c>
      <c r="F9" s="3">
        <v>280</v>
      </c>
      <c r="G9" s="3" t="s">
        <v>13</v>
      </c>
      <c r="H9" s="3">
        <f t="shared" si="15"/>
        <v>0.72</v>
      </c>
      <c r="I9" s="3">
        <f t="shared" si="16"/>
        <v>201.6</v>
      </c>
      <c r="J9" s="19">
        <v>744</v>
      </c>
      <c r="K9" s="20">
        <f t="shared" si="17"/>
        <v>149.99039999999999</v>
      </c>
    </row>
    <row r="10" spans="1:12">
      <c r="A10" s="6">
        <v>46064</v>
      </c>
      <c r="B10" s="10" t="s">
        <v>31</v>
      </c>
      <c r="C10" s="3">
        <v>1</v>
      </c>
      <c r="D10" s="4">
        <v>0.6</v>
      </c>
      <c r="E10" s="5">
        <v>1.2</v>
      </c>
      <c r="F10" s="3">
        <v>280</v>
      </c>
      <c r="G10" s="3" t="s">
        <v>13</v>
      </c>
      <c r="H10" s="3">
        <f t="shared" ref="H10" si="18">+D10*E10</f>
        <v>0.72</v>
      </c>
      <c r="I10" s="3">
        <f t="shared" ref="I10" si="19">+H10*F10</f>
        <v>201.6</v>
      </c>
      <c r="J10" s="19">
        <v>1656</v>
      </c>
      <c r="K10" s="20">
        <f t="shared" ref="K10" si="20">+J10*I10/1000</f>
        <v>333.84959999999995</v>
      </c>
    </row>
    <row r="11" spans="1:12">
      <c r="A11" s="6">
        <v>46064</v>
      </c>
      <c r="B11" s="10" t="s">
        <v>32</v>
      </c>
      <c r="C11" s="3">
        <v>1</v>
      </c>
      <c r="D11" s="4">
        <v>0.6</v>
      </c>
      <c r="E11" s="5">
        <v>1.2</v>
      </c>
      <c r="F11" s="3">
        <v>280</v>
      </c>
      <c r="G11" s="3" t="s">
        <v>13</v>
      </c>
      <c r="H11" s="3">
        <f t="shared" ref="H11:H12" si="21">+D11*E11</f>
        <v>0.72</v>
      </c>
      <c r="I11" s="3">
        <f t="shared" ref="I11:I12" si="22">+H11*F11</f>
        <v>201.6</v>
      </c>
      <c r="J11" s="19">
        <v>729</v>
      </c>
      <c r="K11" s="20">
        <f t="shared" ref="K11:K12" si="23">+J11*I11/1000</f>
        <v>146.96639999999999</v>
      </c>
    </row>
    <row r="12" spans="1:12">
      <c r="A12" s="6">
        <v>46065</v>
      </c>
      <c r="B12" s="3" t="s">
        <v>27</v>
      </c>
      <c r="C12" s="3">
        <v>1</v>
      </c>
      <c r="D12" s="4">
        <v>0.35</v>
      </c>
      <c r="E12" s="5">
        <v>0.6</v>
      </c>
      <c r="F12" s="3">
        <v>330</v>
      </c>
      <c r="G12" s="3" t="s">
        <v>10</v>
      </c>
      <c r="H12" s="3">
        <f t="shared" si="21"/>
        <v>0.21</v>
      </c>
      <c r="I12" s="3">
        <f t="shared" si="22"/>
        <v>69.3</v>
      </c>
      <c r="J12" s="18">
        <v>4000</v>
      </c>
      <c r="K12" s="20">
        <f t="shared" si="23"/>
        <v>277.2</v>
      </c>
      <c r="L12" t="s">
        <v>33</v>
      </c>
    </row>
    <row r="13" spans="1:12">
      <c r="A13" s="6">
        <v>46065</v>
      </c>
      <c r="B13" s="3" t="s">
        <v>34</v>
      </c>
      <c r="C13" s="3">
        <v>1</v>
      </c>
      <c r="D13" s="4">
        <v>0.35</v>
      </c>
      <c r="E13" s="5">
        <v>0.6</v>
      </c>
      <c r="F13" s="3">
        <v>330</v>
      </c>
      <c r="G13" s="3" t="s">
        <v>10</v>
      </c>
      <c r="H13" s="3">
        <f t="shared" ref="H13:H15" si="24">+D13*E13</f>
        <v>0.21</v>
      </c>
      <c r="I13" s="3">
        <f t="shared" ref="I13:I15" si="25">+H13*F13</f>
        <v>69.3</v>
      </c>
      <c r="J13" s="18">
        <v>3635</v>
      </c>
      <c r="K13" s="20">
        <f t="shared" ref="K13:K15" si="26">+J13*I13/1000</f>
        <v>251.90549999999999</v>
      </c>
    </row>
    <row r="14" spans="1:12">
      <c r="A14" s="6">
        <v>46066</v>
      </c>
      <c r="B14" s="3" t="s">
        <v>35</v>
      </c>
      <c r="C14" s="3">
        <v>1</v>
      </c>
      <c r="D14" s="4">
        <v>0.35</v>
      </c>
      <c r="E14" s="5">
        <v>0.6</v>
      </c>
      <c r="F14" s="3">
        <v>330</v>
      </c>
      <c r="G14" s="3" t="s">
        <v>10</v>
      </c>
      <c r="H14" s="3">
        <f t="shared" si="24"/>
        <v>0.21</v>
      </c>
      <c r="I14" s="3">
        <f t="shared" si="25"/>
        <v>69.3</v>
      </c>
      <c r="J14" s="18">
        <v>4000</v>
      </c>
      <c r="K14" s="20">
        <f t="shared" si="26"/>
        <v>277.2</v>
      </c>
    </row>
    <row r="15" spans="1:12">
      <c r="A15" s="6">
        <v>46066</v>
      </c>
      <c r="B15" s="3" t="s">
        <v>24</v>
      </c>
      <c r="C15" s="3">
        <v>1</v>
      </c>
      <c r="D15" s="4">
        <v>0.35</v>
      </c>
      <c r="E15" s="5">
        <v>0.6</v>
      </c>
      <c r="F15" s="3">
        <v>330</v>
      </c>
      <c r="G15" s="3" t="s">
        <v>10</v>
      </c>
      <c r="H15" s="3">
        <f t="shared" si="24"/>
        <v>0.21</v>
      </c>
      <c r="I15" s="3">
        <f t="shared" si="25"/>
        <v>69.3</v>
      </c>
      <c r="J15" s="18">
        <v>24</v>
      </c>
      <c r="K15" s="20">
        <f t="shared" si="26"/>
        <v>1.6631999999999998</v>
      </c>
    </row>
    <row r="16" spans="1:12">
      <c r="A16" s="6">
        <v>46070</v>
      </c>
      <c r="B16" s="3" t="s">
        <v>24</v>
      </c>
      <c r="C16" s="3">
        <v>1</v>
      </c>
      <c r="D16" s="4">
        <v>0.35</v>
      </c>
      <c r="E16" s="5">
        <v>0.6</v>
      </c>
      <c r="F16" s="3">
        <v>330</v>
      </c>
      <c r="G16" s="3" t="s">
        <v>10</v>
      </c>
      <c r="H16" s="3">
        <f t="shared" ref="H16:H18" si="27">+D16*E16</f>
        <v>0.21</v>
      </c>
      <c r="I16" s="3">
        <f t="shared" ref="I16:I18" si="28">+H16*F16</f>
        <v>69.3</v>
      </c>
      <c r="J16" s="18">
        <v>3180</v>
      </c>
      <c r="K16" s="20">
        <f t="shared" ref="K16:K18" si="29">+J16*I16/1000</f>
        <v>220.374</v>
      </c>
    </row>
    <row r="17" spans="1:12">
      <c r="A17" s="6">
        <v>46071</v>
      </c>
      <c r="B17" s="10" t="s">
        <v>32</v>
      </c>
      <c r="C17" s="3">
        <v>1</v>
      </c>
      <c r="D17" s="4">
        <v>0.6</v>
      </c>
      <c r="E17" s="5">
        <v>1.2</v>
      </c>
      <c r="F17" s="3">
        <v>280</v>
      </c>
      <c r="G17" s="3" t="s">
        <v>13</v>
      </c>
      <c r="H17" s="3">
        <f t="shared" si="27"/>
        <v>0.72</v>
      </c>
      <c r="I17" s="3">
        <f t="shared" si="28"/>
        <v>201.6</v>
      </c>
      <c r="J17" s="19">
        <v>1671</v>
      </c>
      <c r="K17" s="20">
        <f t="shared" si="29"/>
        <v>336.87359999999995</v>
      </c>
    </row>
    <row r="18" spans="1:12">
      <c r="A18" s="6">
        <v>46071</v>
      </c>
      <c r="B18" s="11" t="s">
        <v>11</v>
      </c>
      <c r="C18" s="3">
        <v>1</v>
      </c>
      <c r="D18" s="4">
        <v>0.6</v>
      </c>
      <c r="E18" s="5">
        <v>1.2</v>
      </c>
      <c r="F18" s="3">
        <v>280</v>
      </c>
      <c r="G18" s="3" t="s">
        <v>13</v>
      </c>
      <c r="H18" s="3">
        <f t="shared" si="27"/>
        <v>0.72</v>
      </c>
      <c r="I18" s="3">
        <f t="shared" si="28"/>
        <v>201.6</v>
      </c>
      <c r="J18" s="18">
        <v>876</v>
      </c>
      <c r="K18" s="20">
        <f t="shared" si="29"/>
        <v>176.60160000000002</v>
      </c>
    </row>
    <row r="19" spans="1:12">
      <c r="A19" s="6">
        <v>46072</v>
      </c>
      <c r="B19" s="11" t="s">
        <v>11</v>
      </c>
      <c r="C19" s="3">
        <v>1</v>
      </c>
      <c r="D19" s="4">
        <v>0.6</v>
      </c>
      <c r="E19" s="5">
        <v>1.2</v>
      </c>
      <c r="F19" s="3">
        <v>280</v>
      </c>
      <c r="G19" s="3" t="s">
        <v>13</v>
      </c>
      <c r="H19" s="3">
        <f t="shared" ref="H19:H25" si="30">+D19*E19</f>
        <v>0.72</v>
      </c>
      <c r="I19" s="3">
        <f t="shared" ref="I19:I25" si="31">+H19*F19</f>
        <v>201.6</v>
      </c>
      <c r="J19" s="18">
        <v>324</v>
      </c>
      <c r="K19" s="20">
        <f t="shared" ref="K19:K25" si="32">+J19*I19/1000</f>
        <v>65.318399999999997</v>
      </c>
    </row>
    <row r="20" spans="1:12">
      <c r="A20" s="6">
        <v>46072</v>
      </c>
      <c r="B20" s="6" t="s">
        <v>23</v>
      </c>
      <c r="C20" s="3">
        <v>1</v>
      </c>
      <c r="D20" s="4">
        <v>0.6</v>
      </c>
      <c r="E20" s="5">
        <v>1.2</v>
      </c>
      <c r="F20" s="3">
        <v>280</v>
      </c>
      <c r="G20" s="3" t="s">
        <v>13</v>
      </c>
      <c r="H20" s="3">
        <f t="shared" si="30"/>
        <v>0.72</v>
      </c>
      <c r="I20" s="3">
        <f t="shared" si="31"/>
        <v>201.6</v>
      </c>
      <c r="J20" s="18">
        <v>1200</v>
      </c>
      <c r="K20" s="20">
        <f t="shared" si="32"/>
        <v>241.92</v>
      </c>
    </row>
    <row r="21" spans="1:12">
      <c r="A21" s="6">
        <v>46073</v>
      </c>
      <c r="B21" s="10" t="s">
        <v>28</v>
      </c>
      <c r="C21" s="3">
        <v>1</v>
      </c>
      <c r="D21" s="4">
        <v>0.6</v>
      </c>
      <c r="E21" s="5">
        <v>1.2</v>
      </c>
      <c r="F21" s="3">
        <v>280</v>
      </c>
      <c r="G21" s="3" t="s">
        <v>13</v>
      </c>
      <c r="H21" s="3">
        <f t="shared" si="30"/>
        <v>0.72</v>
      </c>
      <c r="I21" s="3">
        <f t="shared" si="31"/>
        <v>201.6</v>
      </c>
      <c r="J21" s="19">
        <v>1200</v>
      </c>
      <c r="K21" s="20">
        <f t="shared" si="32"/>
        <v>241.92</v>
      </c>
    </row>
    <row r="22" spans="1:12">
      <c r="A22" s="6">
        <v>46073</v>
      </c>
      <c r="B22" s="10" t="s">
        <v>29</v>
      </c>
      <c r="C22" s="3">
        <v>1</v>
      </c>
      <c r="D22" s="4">
        <v>0.6</v>
      </c>
      <c r="E22" s="5">
        <v>1.2</v>
      </c>
      <c r="F22" s="3">
        <v>280</v>
      </c>
      <c r="G22" s="3" t="s">
        <v>13</v>
      </c>
      <c r="H22" s="3">
        <f t="shared" si="30"/>
        <v>0.72</v>
      </c>
      <c r="I22" s="3">
        <f t="shared" si="31"/>
        <v>201.6</v>
      </c>
      <c r="J22" s="19">
        <v>1200</v>
      </c>
      <c r="K22" s="20">
        <f t="shared" si="32"/>
        <v>241.92</v>
      </c>
    </row>
    <row r="23" spans="1:12">
      <c r="A23" s="6">
        <v>46074</v>
      </c>
      <c r="B23" s="12" t="s">
        <v>20</v>
      </c>
      <c r="C23" s="7">
        <v>1</v>
      </c>
      <c r="D23" s="4">
        <v>0.6</v>
      </c>
      <c r="E23" s="5">
        <v>1.2</v>
      </c>
      <c r="F23" s="3">
        <v>320</v>
      </c>
      <c r="G23" s="3" t="s">
        <v>10</v>
      </c>
      <c r="H23" s="3">
        <f t="shared" si="30"/>
        <v>0.72</v>
      </c>
      <c r="I23" s="3">
        <f t="shared" si="31"/>
        <v>230.39999999999998</v>
      </c>
      <c r="J23" s="18">
        <v>400</v>
      </c>
      <c r="K23" s="20">
        <f t="shared" si="32"/>
        <v>92.159999999999982</v>
      </c>
    </row>
    <row r="24" spans="1:12">
      <c r="A24" s="6">
        <v>46074</v>
      </c>
      <c r="B24" s="10" t="s">
        <v>30</v>
      </c>
      <c r="C24" s="3">
        <v>1</v>
      </c>
      <c r="D24" s="4">
        <v>0.6</v>
      </c>
      <c r="E24" s="5">
        <v>1.2</v>
      </c>
      <c r="F24" s="3">
        <v>280</v>
      </c>
      <c r="G24" s="3" t="s">
        <v>13</v>
      </c>
      <c r="H24" s="3">
        <f t="shared" si="30"/>
        <v>0.72</v>
      </c>
      <c r="I24" s="3">
        <f t="shared" si="31"/>
        <v>201.6</v>
      </c>
      <c r="J24" s="19">
        <v>798</v>
      </c>
      <c r="K24" s="20">
        <f t="shared" si="32"/>
        <v>160.87679999999997</v>
      </c>
    </row>
    <row r="25" spans="1:12">
      <c r="A25" s="6">
        <v>46074</v>
      </c>
      <c r="B25" s="3" t="s">
        <v>36</v>
      </c>
      <c r="C25" s="7">
        <v>1</v>
      </c>
      <c r="D25" s="4">
        <v>0.6</v>
      </c>
      <c r="E25" s="5">
        <v>1.2</v>
      </c>
      <c r="F25" s="3">
        <v>320</v>
      </c>
      <c r="G25" s="3" t="s">
        <v>10</v>
      </c>
      <c r="H25" s="3">
        <f t="shared" si="30"/>
        <v>0.72</v>
      </c>
      <c r="I25" s="3">
        <f t="shared" si="31"/>
        <v>230.39999999999998</v>
      </c>
      <c r="J25" s="18">
        <v>500</v>
      </c>
      <c r="K25" s="20">
        <f t="shared" si="32"/>
        <v>115.19999999999999</v>
      </c>
    </row>
    <row r="26" spans="1:12">
      <c r="A26" s="6">
        <v>46077</v>
      </c>
      <c r="B26" s="3" t="s">
        <v>37</v>
      </c>
      <c r="C26" s="7">
        <v>1</v>
      </c>
      <c r="D26" s="4">
        <v>0.6</v>
      </c>
      <c r="E26" s="5">
        <v>1.2</v>
      </c>
      <c r="F26" s="3">
        <v>320</v>
      </c>
      <c r="G26" s="3" t="s">
        <v>10</v>
      </c>
      <c r="H26" s="3">
        <f t="shared" ref="H26" si="33">+D26*E26</f>
        <v>0.72</v>
      </c>
      <c r="I26" s="3">
        <f t="shared" ref="I26" si="34">+H26*F26</f>
        <v>230.39999999999998</v>
      </c>
      <c r="J26" s="18">
        <v>500</v>
      </c>
      <c r="K26" s="20">
        <f t="shared" ref="K26" si="35">+J26*I26/1000</f>
        <v>115.19999999999999</v>
      </c>
    </row>
    <row r="27" spans="1:12">
      <c r="A27" s="6">
        <v>46077</v>
      </c>
      <c r="B27" s="3" t="s">
        <v>38</v>
      </c>
      <c r="C27" s="7">
        <v>1</v>
      </c>
      <c r="D27" s="4">
        <v>0.6</v>
      </c>
      <c r="E27" s="5">
        <v>1.2</v>
      </c>
      <c r="F27" s="3">
        <v>320</v>
      </c>
      <c r="G27" s="3" t="s">
        <v>10</v>
      </c>
      <c r="H27" s="3">
        <f t="shared" ref="H27" si="36">+D27*E27</f>
        <v>0.72</v>
      </c>
      <c r="I27" s="3">
        <f t="shared" ref="I27" si="37">+H27*F27</f>
        <v>230.39999999999998</v>
      </c>
      <c r="J27" s="18">
        <v>900</v>
      </c>
      <c r="K27" s="20">
        <f t="shared" ref="K27" si="38">+J27*I27/1000</f>
        <v>207.35999999999996</v>
      </c>
      <c r="L27" s="17"/>
    </row>
    <row r="28" spans="1:12">
      <c r="A28" s="6">
        <v>46077</v>
      </c>
      <c r="B28" s="3" t="s">
        <v>39</v>
      </c>
      <c r="C28" s="7">
        <v>1</v>
      </c>
      <c r="D28" s="4">
        <v>0.6</v>
      </c>
      <c r="E28" s="5">
        <v>1.2</v>
      </c>
      <c r="F28" s="3">
        <v>320</v>
      </c>
      <c r="G28" s="3" t="s">
        <v>10</v>
      </c>
      <c r="H28" s="3">
        <f t="shared" ref="H28" si="39">+D28*E28</f>
        <v>0.72</v>
      </c>
      <c r="I28" s="3">
        <f t="shared" ref="I28" si="40">+H28*F28</f>
        <v>230.39999999999998</v>
      </c>
      <c r="J28" s="18">
        <v>900</v>
      </c>
      <c r="K28" s="20">
        <f t="shared" ref="K28" si="41">+J28*I28/1000</f>
        <v>207.35999999999996</v>
      </c>
    </row>
    <row r="29" spans="1:12">
      <c r="A29" s="6">
        <v>46078</v>
      </c>
      <c r="B29" s="3" t="s">
        <v>40</v>
      </c>
      <c r="C29" s="7">
        <v>1</v>
      </c>
      <c r="D29" s="4">
        <v>0.6</v>
      </c>
      <c r="E29" s="5">
        <v>1.2</v>
      </c>
      <c r="F29" s="3">
        <v>320</v>
      </c>
      <c r="G29" s="3" t="s">
        <v>10</v>
      </c>
      <c r="H29" s="3">
        <f t="shared" ref="H29:H30" si="42">+D29*E29</f>
        <v>0.72</v>
      </c>
      <c r="I29" s="3">
        <f t="shared" ref="I29:I30" si="43">+H29*F29</f>
        <v>230.39999999999998</v>
      </c>
      <c r="J29" s="18">
        <v>700</v>
      </c>
      <c r="K29" s="20">
        <f t="shared" ref="K29:K30" si="44">+J29*I29/1000</f>
        <v>161.27999999999997</v>
      </c>
    </row>
    <row r="30" spans="1:12">
      <c r="A30" s="6">
        <v>46078</v>
      </c>
      <c r="B30" s="3" t="s">
        <v>41</v>
      </c>
      <c r="C30" s="3">
        <v>1</v>
      </c>
      <c r="D30" s="4">
        <v>0.35</v>
      </c>
      <c r="E30" s="5">
        <v>0.6</v>
      </c>
      <c r="F30" s="3">
        <v>330</v>
      </c>
      <c r="G30" s="3" t="s">
        <v>10</v>
      </c>
      <c r="H30" s="3">
        <f t="shared" si="42"/>
        <v>0.21</v>
      </c>
      <c r="I30" s="3">
        <f t="shared" si="43"/>
        <v>69.3</v>
      </c>
      <c r="J30" s="18">
        <v>1725</v>
      </c>
      <c r="K30" s="20">
        <f t="shared" si="44"/>
        <v>119.5425</v>
      </c>
    </row>
    <row r="31" spans="1:12">
      <c r="A31" s="6">
        <v>46079</v>
      </c>
      <c r="B31" s="3" t="s">
        <v>41</v>
      </c>
      <c r="C31" s="3">
        <v>1</v>
      </c>
      <c r="D31" s="4">
        <v>0.35</v>
      </c>
      <c r="E31" s="5">
        <v>0.6</v>
      </c>
      <c r="F31" s="3">
        <v>330</v>
      </c>
      <c r="G31" s="3" t="s">
        <v>10</v>
      </c>
      <c r="H31" s="3">
        <f t="shared" ref="H31:H32" si="45">+D31*E31</f>
        <v>0.21</v>
      </c>
      <c r="I31" s="3">
        <f t="shared" ref="I31:I32" si="46">+H31*F31</f>
        <v>69.3</v>
      </c>
      <c r="J31" s="18">
        <v>6275</v>
      </c>
      <c r="K31" s="20">
        <f t="shared" ref="K31:K32" si="47">+J31*I31/1000</f>
        <v>434.85750000000002</v>
      </c>
    </row>
    <row r="32" spans="1:12">
      <c r="A32" s="6">
        <v>46079</v>
      </c>
      <c r="B32" s="3" t="s">
        <v>35</v>
      </c>
      <c r="C32" s="3">
        <v>1</v>
      </c>
      <c r="D32" s="4">
        <v>0.35</v>
      </c>
      <c r="E32" s="5">
        <v>0.6</v>
      </c>
      <c r="F32" s="3">
        <v>330</v>
      </c>
      <c r="G32" s="3" t="s">
        <v>10</v>
      </c>
      <c r="H32" s="3">
        <f t="shared" si="45"/>
        <v>0.21</v>
      </c>
      <c r="I32" s="3">
        <f t="shared" si="46"/>
        <v>69.3</v>
      </c>
      <c r="J32" s="18">
        <v>2700</v>
      </c>
      <c r="K32" s="20">
        <f t="shared" si="47"/>
        <v>187.11</v>
      </c>
    </row>
    <row r="33" spans="1:11">
      <c r="A33" s="6">
        <v>46080</v>
      </c>
      <c r="B33" s="3" t="s">
        <v>35</v>
      </c>
      <c r="C33" s="3">
        <v>1</v>
      </c>
      <c r="D33" s="4">
        <v>0.35</v>
      </c>
      <c r="E33" s="5">
        <v>0.6</v>
      </c>
      <c r="F33" s="3">
        <v>330</v>
      </c>
      <c r="G33" s="3" t="s">
        <v>10</v>
      </c>
      <c r="H33" s="3">
        <f t="shared" ref="H33:H36" si="48">+D33*E33</f>
        <v>0.21</v>
      </c>
      <c r="I33" s="3">
        <f t="shared" ref="I33:I36" si="49">+H33*F33</f>
        <v>69.3</v>
      </c>
      <c r="J33" s="18">
        <v>4845</v>
      </c>
      <c r="K33" s="20">
        <f t="shared" ref="K33:K36" si="50">+J33*I33/1000</f>
        <v>335.75850000000003</v>
      </c>
    </row>
    <row r="34" spans="1:11">
      <c r="A34" s="6">
        <v>46080</v>
      </c>
      <c r="B34" s="10" t="s">
        <v>30</v>
      </c>
      <c r="C34" s="3">
        <v>1</v>
      </c>
      <c r="D34" s="4">
        <v>0.6</v>
      </c>
      <c r="E34" s="5">
        <v>1.2</v>
      </c>
      <c r="F34" s="3">
        <v>280</v>
      </c>
      <c r="G34" s="3" t="s">
        <v>13</v>
      </c>
      <c r="H34" s="3">
        <f t="shared" si="48"/>
        <v>0.72</v>
      </c>
      <c r="I34" s="3">
        <f t="shared" si="49"/>
        <v>201.6</v>
      </c>
      <c r="J34" s="19">
        <v>405</v>
      </c>
      <c r="K34" s="20">
        <f t="shared" si="50"/>
        <v>81.647999999999996</v>
      </c>
    </row>
    <row r="35" spans="1:11">
      <c r="A35" s="6">
        <v>46081</v>
      </c>
      <c r="B35" s="10" t="s">
        <v>14</v>
      </c>
      <c r="C35" s="3">
        <v>1</v>
      </c>
      <c r="D35" s="4">
        <v>0.6</v>
      </c>
      <c r="E35" s="5">
        <v>1.2</v>
      </c>
      <c r="F35" s="3">
        <v>280</v>
      </c>
      <c r="G35" s="3" t="s">
        <v>13</v>
      </c>
      <c r="H35" s="3">
        <f t="shared" si="48"/>
        <v>0.72</v>
      </c>
      <c r="I35" s="3">
        <f t="shared" si="49"/>
        <v>201.6</v>
      </c>
      <c r="J35" s="19">
        <v>1200</v>
      </c>
      <c r="K35" s="20">
        <f t="shared" si="50"/>
        <v>241.92</v>
      </c>
    </row>
    <row r="36" spans="1:11">
      <c r="A36" s="6">
        <v>46081</v>
      </c>
      <c r="B36" s="6" t="s">
        <v>42</v>
      </c>
      <c r="C36" s="3">
        <v>1</v>
      </c>
      <c r="D36" s="4">
        <v>0.3</v>
      </c>
      <c r="E36" s="5">
        <v>0.5</v>
      </c>
      <c r="F36" s="3">
        <v>300</v>
      </c>
      <c r="G36" s="3" t="s">
        <v>10</v>
      </c>
      <c r="H36" s="3">
        <f t="shared" si="48"/>
        <v>0.15</v>
      </c>
      <c r="I36" s="3">
        <f t="shared" si="49"/>
        <v>45</v>
      </c>
      <c r="J36" s="18">
        <v>3450</v>
      </c>
      <c r="K36" s="20">
        <f t="shared" si="50"/>
        <v>155.25</v>
      </c>
    </row>
    <row r="37" spans="1:11">
      <c r="A37" s="6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5" t="s">
        <v>100</v>
      </c>
      <c r="B38" s="14"/>
      <c r="C38" s="14"/>
      <c r="D38" s="14"/>
      <c r="E38" s="14"/>
      <c r="F38" s="14"/>
      <c r="G38" s="14"/>
      <c r="H38" s="14"/>
      <c r="I38" s="14"/>
      <c r="J38" s="23">
        <f>SUM(J2:J37)</f>
        <v>57099</v>
      </c>
      <c r="K38" s="16">
        <f>SUM(K2:K24)</f>
        <v>4700.9186999999993</v>
      </c>
    </row>
    <row r="51" spans="11:11">
      <c r="K51" s="13"/>
    </row>
  </sheetData>
  <autoFilter ref="A1:L36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6"/>
  <sheetViews>
    <sheetView zoomScale="90" zoomScaleNormal="90" workbookViewId="0">
      <selection activeCell="A45" sqref="A45"/>
    </sheetView>
  </sheetViews>
  <sheetFormatPr baseColWidth="10" defaultRowHeight="15"/>
  <cols>
    <col min="1" max="1" width="12.85546875" customWidth="1"/>
    <col min="2" max="2" width="21.140625" customWidth="1"/>
    <col min="3" max="3" width="10" customWidth="1"/>
    <col min="4" max="4" width="12.42578125" customWidth="1"/>
    <col min="5" max="5" width="11.85546875" customWidth="1"/>
    <col min="6" max="6" width="12.42578125" customWidth="1"/>
    <col min="7" max="7" width="13.7109375" customWidth="1"/>
    <col min="8" max="8" width="14.140625" customWidth="1"/>
    <col min="9" max="9" width="15.42578125" customWidth="1"/>
    <col min="10" max="10" width="13.140625" customWidth="1"/>
    <col min="11" max="11" width="14.42578125" customWidth="1"/>
  </cols>
  <sheetData>
    <row r="1" spans="1:12">
      <c r="A1" s="21" t="s">
        <v>0</v>
      </c>
      <c r="B1" s="1" t="s">
        <v>1</v>
      </c>
      <c r="C1" s="1" t="s">
        <v>2</v>
      </c>
      <c r="D1" s="1" t="s">
        <v>3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0" t="s">
        <v>88</v>
      </c>
    </row>
    <row r="2" spans="1:12">
      <c r="A2" s="6">
        <v>46084</v>
      </c>
      <c r="B2" s="6" t="s">
        <v>43</v>
      </c>
      <c r="C2" s="3">
        <v>1</v>
      </c>
      <c r="D2" s="4">
        <v>0.3</v>
      </c>
      <c r="E2" s="5">
        <v>0.5</v>
      </c>
      <c r="F2" s="3">
        <v>300</v>
      </c>
      <c r="G2" s="3" t="s">
        <v>10</v>
      </c>
      <c r="H2" s="3">
        <f t="shared" ref="H2:H7" si="0">+D2*E2</f>
        <v>0.15</v>
      </c>
      <c r="I2" s="3">
        <f t="shared" ref="I2:I7" si="1">+H2*F2</f>
        <v>45</v>
      </c>
      <c r="J2" s="18">
        <v>3420</v>
      </c>
      <c r="K2" s="20">
        <f t="shared" ref="K2:K7" si="2">+J2*I2/1000</f>
        <v>153.9</v>
      </c>
    </row>
    <row r="3" spans="1:12">
      <c r="A3" s="6">
        <v>46084</v>
      </c>
      <c r="B3" s="6" t="s">
        <v>19</v>
      </c>
      <c r="C3" s="3">
        <v>1</v>
      </c>
      <c r="D3" s="4">
        <v>0.3</v>
      </c>
      <c r="E3" s="5">
        <v>0.5</v>
      </c>
      <c r="F3" s="3">
        <v>300</v>
      </c>
      <c r="G3" s="3" t="s">
        <v>10</v>
      </c>
      <c r="H3" s="3">
        <f t="shared" si="0"/>
        <v>0.15</v>
      </c>
      <c r="I3" s="3">
        <f t="shared" si="1"/>
        <v>45</v>
      </c>
      <c r="J3" s="18">
        <v>2370</v>
      </c>
      <c r="K3" s="20">
        <f t="shared" si="2"/>
        <v>106.65</v>
      </c>
    </row>
    <row r="4" spans="1:12">
      <c r="A4" s="6">
        <v>46084</v>
      </c>
      <c r="B4" s="3" t="s">
        <v>44</v>
      </c>
      <c r="C4" s="7">
        <v>1</v>
      </c>
      <c r="D4" s="4">
        <v>0.6</v>
      </c>
      <c r="E4" s="5">
        <v>1.2</v>
      </c>
      <c r="F4" s="3">
        <v>320</v>
      </c>
      <c r="G4" s="3" t="s">
        <v>10</v>
      </c>
      <c r="H4" s="3">
        <f t="shared" si="0"/>
        <v>0.72</v>
      </c>
      <c r="I4" s="3">
        <f t="shared" si="1"/>
        <v>230.39999999999998</v>
      </c>
      <c r="J4" s="18">
        <v>840</v>
      </c>
      <c r="K4" s="20">
        <f t="shared" si="2"/>
        <v>193.53599999999997</v>
      </c>
    </row>
    <row r="5" spans="1:12">
      <c r="A5" s="6">
        <v>46085</v>
      </c>
      <c r="B5" s="10" t="s">
        <v>29</v>
      </c>
      <c r="C5" s="3">
        <v>1</v>
      </c>
      <c r="D5" s="4">
        <v>0.6</v>
      </c>
      <c r="E5" s="5">
        <v>1.2</v>
      </c>
      <c r="F5" s="3">
        <v>280</v>
      </c>
      <c r="G5" s="3" t="s">
        <v>13</v>
      </c>
      <c r="H5" s="3">
        <f t="shared" si="0"/>
        <v>0.72</v>
      </c>
      <c r="I5" s="3">
        <f t="shared" si="1"/>
        <v>201.6</v>
      </c>
      <c r="J5" s="19">
        <v>2400</v>
      </c>
      <c r="K5" s="20">
        <f t="shared" si="2"/>
        <v>483.84</v>
      </c>
    </row>
    <row r="6" spans="1:12">
      <c r="A6" s="6">
        <v>46086</v>
      </c>
      <c r="B6" s="10" t="s">
        <v>45</v>
      </c>
      <c r="C6" s="3">
        <v>1</v>
      </c>
      <c r="D6" s="4">
        <v>0.6</v>
      </c>
      <c r="E6" s="5">
        <v>1.2</v>
      </c>
      <c r="F6" s="3">
        <v>280</v>
      </c>
      <c r="G6" s="3" t="s">
        <v>13</v>
      </c>
      <c r="H6" s="3">
        <f t="shared" si="0"/>
        <v>0.72</v>
      </c>
      <c r="I6" s="3">
        <f t="shared" si="1"/>
        <v>201.6</v>
      </c>
      <c r="J6" s="19">
        <v>2400</v>
      </c>
      <c r="K6" s="20">
        <f t="shared" si="2"/>
        <v>483.84</v>
      </c>
    </row>
    <row r="7" spans="1:12">
      <c r="A7" s="6">
        <v>46087</v>
      </c>
      <c r="B7" s="10" t="s">
        <v>14</v>
      </c>
      <c r="C7" s="3">
        <v>1</v>
      </c>
      <c r="D7" s="4">
        <v>0.6</v>
      </c>
      <c r="E7" s="5">
        <v>1.2</v>
      </c>
      <c r="F7" s="3">
        <v>280</v>
      </c>
      <c r="G7" s="3" t="s">
        <v>13</v>
      </c>
      <c r="H7" s="3">
        <f t="shared" si="0"/>
        <v>0.72</v>
      </c>
      <c r="I7" s="3">
        <f t="shared" si="1"/>
        <v>201.6</v>
      </c>
      <c r="J7" s="19">
        <v>2124</v>
      </c>
      <c r="K7" s="20">
        <f t="shared" si="2"/>
        <v>428.19839999999999</v>
      </c>
    </row>
    <row r="8" spans="1:12">
      <c r="A8" s="6">
        <v>46088</v>
      </c>
      <c r="B8" s="10" t="s">
        <v>14</v>
      </c>
      <c r="C8" s="3">
        <v>1</v>
      </c>
      <c r="D8" s="4">
        <v>0.6</v>
      </c>
      <c r="E8" s="5">
        <v>1.2</v>
      </c>
      <c r="F8" s="3">
        <v>280</v>
      </c>
      <c r="G8" s="3" t="s">
        <v>13</v>
      </c>
      <c r="H8" s="3">
        <f t="shared" ref="H8:H10" si="3">+D8*E8</f>
        <v>0.72</v>
      </c>
      <c r="I8" s="3">
        <f t="shared" ref="I8:I10" si="4">+H8*F8</f>
        <v>201.6</v>
      </c>
      <c r="J8" s="19">
        <v>276</v>
      </c>
      <c r="K8" s="20">
        <f t="shared" ref="K8:K10" si="5">+J8*I8/1000</f>
        <v>55.641599999999997</v>
      </c>
    </row>
    <row r="9" spans="1:12">
      <c r="A9" s="6">
        <v>46091</v>
      </c>
      <c r="B9" s="10" t="s">
        <v>30</v>
      </c>
      <c r="C9" s="3">
        <v>1</v>
      </c>
      <c r="D9" s="4">
        <v>0.6</v>
      </c>
      <c r="E9" s="5">
        <v>1.2</v>
      </c>
      <c r="F9" s="3">
        <v>280</v>
      </c>
      <c r="G9" s="3" t="s">
        <v>13</v>
      </c>
      <c r="H9" s="3">
        <f t="shared" si="3"/>
        <v>0.72</v>
      </c>
      <c r="I9" s="3">
        <f t="shared" si="4"/>
        <v>201.6</v>
      </c>
      <c r="J9" s="19">
        <v>1200</v>
      </c>
      <c r="K9" s="20">
        <f t="shared" si="5"/>
        <v>241.92</v>
      </c>
    </row>
    <row r="10" spans="1:12">
      <c r="A10" s="6">
        <v>46091</v>
      </c>
      <c r="B10" s="11" t="s">
        <v>11</v>
      </c>
      <c r="C10" s="3">
        <v>1</v>
      </c>
      <c r="D10" s="4">
        <v>0.6</v>
      </c>
      <c r="E10" s="5">
        <v>1.2</v>
      </c>
      <c r="F10" s="3">
        <v>280</v>
      </c>
      <c r="G10" s="3" t="s">
        <v>13</v>
      </c>
      <c r="H10" s="3">
        <f t="shared" si="3"/>
        <v>0.72</v>
      </c>
      <c r="I10" s="3">
        <f t="shared" si="4"/>
        <v>201.6</v>
      </c>
      <c r="J10" s="18">
        <v>525</v>
      </c>
      <c r="K10" s="20">
        <f t="shared" si="5"/>
        <v>105.84</v>
      </c>
    </row>
    <row r="11" spans="1:12">
      <c r="A11" s="6">
        <v>46092</v>
      </c>
      <c r="B11" s="11" t="s">
        <v>11</v>
      </c>
      <c r="C11" s="3">
        <v>1</v>
      </c>
      <c r="D11" s="4">
        <v>0.6</v>
      </c>
      <c r="E11" s="5">
        <v>1.2</v>
      </c>
      <c r="F11" s="3">
        <v>280</v>
      </c>
      <c r="G11" s="3" t="s">
        <v>13</v>
      </c>
      <c r="H11" s="3">
        <f t="shared" ref="H11:H13" si="6">+D11*E11</f>
        <v>0.72</v>
      </c>
      <c r="I11" s="3">
        <f t="shared" ref="I11:I13" si="7">+H11*F11</f>
        <v>201.6</v>
      </c>
      <c r="J11" s="18">
        <v>675</v>
      </c>
      <c r="K11" s="20">
        <f t="shared" ref="K11:K13" si="8">+J11*I11/1000</f>
        <v>136.08000000000001</v>
      </c>
    </row>
    <row r="12" spans="1:12">
      <c r="A12" s="6">
        <v>46092</v>
      </c>
      <c r="B12" s="3" t="s">
        <v>34</v>
      </c>
      <c r="C12" s="3">
        <v>1</v>
      </c>
      <c r="D12" s="4">
        <v>0.35</v>
      </c>
      <c r="E12" s="5">
        <v>0.6</v>
      </c>
      <c r="F12" s="3">
        <v>330</v>
      </c>
      <c r="G12" s="3" t="s">
        <v>10</v>
      </c>
      <c r="H12" s="3">
        <f t="shared" si="6"/>
        <v>0.21</v>
      </c>
      <c r="I12" s="3">
        <f t="shared" si="7"/>
        <v>69.3</v>
      </c>
      <c r="J12" s="18">
        <v>4000</v>
      </c>
      <c r="K12" s="20">
        <f t="shared" si="8"/>
        <v>277.2</v>
      </c>
    </row>
    <row r="13" spans="1:12">
      <c r="A13" s="6">
        <v>46092</v>
      </c>
      <c r="B13" s="3" t="s">
        <v>27</v>
      </c>
      <c r="C13" s="3">
        <v>1</v>
      </c>
      <c r="D13" s="4">
        <v>0.35</v>
      </c>
      <c r="E13" s="5">
        <v>0.6</v>
      </c>
      <c r="F13" s="3">
        <v>330</v>
      </c>
      <c r="G13" s="3" t="s">
        <v>10</v>
      </c>
      <c r="H13" s="3">
        <f t="shared" si="6"/>
        <v>0.21</v>
      </c>
      <c r="I13" s="3">
        <f t="shared" si="7"/>
        <v>69.3</v>
      </c>
      <c r="J13" s="18">
        <v>1800</v>
      </c>
      <c r="K13" s="20">
        <f t="shared" si="8"/>
        <v>124.74</v>
      </c>
    </row>
    <row r="14" spans="1:12">
      <c r="A14" s="6">
        <v>46093</v>
      </c>
      <c r="B14" s="3" t="s">
        <v>27</v>
      </c>
      <c r="C14" s="3">
        <v>1</v>
      </c>
      <c r="D14" s="4">
        <v>0.35</v>
      </c>
      <c r="E14" s="5">
        <v>0.6</v>
      </c>
      <c r="F14" s="3">
        <v>330</v>
      </c>
      <c r="G14" s="3" t="s">
        <v>10</v>
      </c>
      <c r="H14" s="3">
        <f t="shared" ref="H14:H15" si="9">+D14*E14</f>
        <v>0.21</v>
      </c>
      <c r="I14" s="3">
        <f t="shared" ref="I14:I15" si="10">+H14*F14</f>
        <v>69.3</v>
      </c>
      <c r="J14" s="18">
        <v>2615</v>
      </c>
      <c r="K14" s="20">
        <f t="shared" ref="K14:K15" si="11">+J14*I14/1000</f>
        <v>181.21950000000001</v>
      </c>
    </row>
    <row r="15" spans="1:12">
      <c r="A15" s="6">
        <v>46093</v>
      </c>
      <c r="B15" s="10" t="s">
        <v>50</v>
      </c>
      <c r="C15" s="3">
        <v>1</v>
      </c>
      <c r="D15" s="4">
        <v>0.6</v>
      </c>
      <c r="E15" s="5">
        <v>1.2</v>
      </c>
      <c r="F15" s="3">
        <v>280</v>
      </c>
      <c r="G15" s="3" t="s">
        <v>13</v>
      </c>
      <c r="H15" s="3">
        <f t="shared" si="9"/>
        <v>0.72</v>
      </c>
      <c r="I15" s="3">
        <f t="shared" si="10"/>
        <v>201.6</v>
      </c>
      <c r="J15" s="19">
        <v>1200</v>
      </c>
      <c r="K15" s="20">
        <f t="shared" si="11"/>
        <v>241.92</v>
      </c>
    </row>
    <row r="16" spans="1:12">
      <c r="A16" s="6">
        <v>46094</v>
      </c>
      <c r="B16" s="10" t="s">
        <v>51</v>
      </c>
      <c r="C16" s="3">
        <v>1</v>
      </c>
      <c r="D16" s="4">
        <v>0.6</v>
      </c>
      <c r="E16" s="5">
        <v>1.2</v>
      </c>
      <c r="F16" s="3">
        <v>280</v>
      </c>
      <c r="G16" s="3" t="s">
        <v>13</v>
      </c>
      <c r="H16" s="3">
        <f t="shared" ref="H16" si="12">+D16*E16</f>
        <v>0.72</v>
      </c>
      <c r="I16" s="3">
        <f t="shared" ref="I16" si="13">+H16*F16</f>
        <v>201.6</v>
      </c>
      <c r="J16" s="19">
        <v>1200</v>
      </c>
      <c r="K16" s="20">
        <f t="shared" ref="K16" si="14">+J16*I16/1000</f>
        <v>241.92</v>
      </c>
    </row>
    <row r="17" spans="1:11">
      <c r="A17" s="6">
        <v>46094</v>
      </c>
      <c r="B17" s="10" t="s">
        <v>16</v>
      </c>
      <c r="C17" s="3">
        <v>1</v>
      </c>
      <c r="D17" s="4">
        <v>0.6</v>
      </c>
      <c r="E17" s="5">
        <v>1.2</v>
      </c>
      <c r="F17" s="3">
        <v>280</v>
      </c>
      <c r="G17" s="3" t="s">
        <v>13</v>
      </c>
      <c r="H17" s="3">
        <f t="shared" ref="H17" si="15">+D17*E17</f>
        <v>0.72</v>
      </c>
      <c r="I17" s="3">
        <f t="shared" ref="I17" si="16">+H17*F17</f>
        <v>201.6</v>
      </c>
      <c r="J17" s="19">
        <v>1158</v>
      </c>
      <c r="K17" s="20">
        <f t="shared" ref="K17" si="17">+J17*I17/1000</f>
        <v>233.4528</v>
      </c>
    </row>
    <row r="18" spans="1:11">
      <c r="A18" s="6">
        <v>46095</v>
      </c>
      <c r="B18" s="10" t="s">
        <v>16</v>
      </c>
      <c r="C18" s="3">
        <v>1</v>
      </c>
      <c r="D18" s="4">
        <v>0.6</v>
      </c>
      <c r="E18" s="5">
        <v>1.2</v>
      </c>
      <c r="F18" s="3">
        <v>280</v>
      </c>
      <c r="G18" s="3" t="s">
        <v>13</v>
      </c>
      <c r="H18" s="3">
        <f t="shared" ref="H18:H19" si="18">+D18*E18</f>
        <v>0.72</v>
      </c>
      <c r="I18" s="3">
        <f t="shared" ref="I18:I19" si="19">+H18*F18</f>
        <v>201.6</v>
      </c>
      <c r="J18" s="19">
        <v>1242</v>
      </c>
      <c r="K18" s="20">
        <f t="shared" ref="K18:K19" si="20">+J18*I18/1000</f>
        <v>250.38719999999998</v>
      </c>
    </row>
    <row r="19" spans="1:11">
      <c r="A19" s="6">
        <v>46095</v>
      </c>
      <c r="B19" s="10" t="s">
        <v>46</v>
      </c>
      <c r="C19" s="3">
        <v>1</v>
      </c>
      <c r="D19" s="4">
        <v>0.6</v>
      </c>
      <c r="E19" s="5">
        <v>1.2</v>
      </c>
      <c r="F19" s="3">
        <v>280</v>
      </c>
      <c r="G19" s="3" t="s">
        <v>13</v>
      </c>
      <c r="H19" s="3">
        <f t="shared" si="18"/>
        <v>0.72</v>
      </c>
      <c r="I19" s="3">
        <f t="shared" si="19"/>
        <v>201.6</v>
      </c>
      <c r="J19" s="19">
        <v>147</v>
      </c>
      <c r="K19" s="20">
        <f t="shared" si="20"/>
        <v>29.635200000000001</v>
      </c>
    </row>
    <row r="20" spans="1:11">
      <c r="A20" s="6">
        <v>46098</v>
      </c>
      <c r="B20" s="10" t="s">
        <v>46</v>
      </c>
      <c r="C20" s="3">
        <v>1</v>
      </c>
      <c r="D20" s="4">
        <v>0.6</v>
      </c>
      <c r="E20" s="5">
        <v>1.2</v>
      </c>
      <c r="F20" s="3">
        <v>280</v>
      </c>
      <c r="G20" s="3" t="s">
        <v>13</v>
      </c>
      <c r="H20" s="3">
        <f t="shared" ref="H20:H23" si="21">+D20*E20</f>
        <v>0.72</v>
      </c>
      <c r="I20" s="3">
        <f t="shared" ref="I20:I23" si="22">+H20*F20</f>
        <v>201.6</v>
      </c>
      <c r="J20" s="19">
        <v>1098</v>
      </c>
      <c r="K20" s="20">
        <f t="shared" ref="K20:K23" si="23">+J20*I20/1000</f>
        <v>221.35679999999999</v>
      </c>
    </row>
    <row r="21" spans="1:11">
      <c r="A21" s="6">
        <v>46099</v>
      </c>
      <c r="B21" s="3" t="s">
        <v>47</v>
      </c>
      <c r="C21" s="3">
        <v>1</v>
      </c>
      <c r="D21" s="4">
        <v>0.35</v>
      </c>
      <c r="E21" s="5">
        <v>0.6</v>
      </c>
      <c r="F21" s="3">
        <v>330</v>
      </c>
      <c r="G21" s="3" t="s">
        <v>10</v>
      </c>
      <c r="H21" s="3">
        <f t="shared" si="21"/>
        <v>0.21</v>
      </c>
      <c r="I21" s="3">
        <f t="shared" si="22"/>
        <v>69.3</v>
      </c>
      <c r="J21" s="18">
        <v>2805</v>
      </c>
      <c r="K21" s="20">
        <f t="shared" si="23"/>
        <v>194.38650000000001</v>
      </c>
    </row>
    <row r="22" spans="1:11">
      <c r="A22" s="6">
        <v>46099</v>
      </c>
      <c r="B22" s="3" t="s">
        <v>52</v>
      </c>
      <c r="C22" s="3">
        <v>1</v>
      </c>
      <c r="D22" s="4">
        <v>0.6</v>
      </c>
      <c r="E22" s="5">
        <v>1.2</v>
      </c>
      <c r="F22" s="3">
        <v>280</v>
      </c>
      <c r="G22" s="3" t="s">
        <v>13</v>
      </c>
      <c r="H22" s="3">
        <f t="shared" ref="H22" si="24">+D22*E22</f>
        <v>0.72</v>
      </c>
      <c r="I22" s="3">
        <f t="shared" ref="I22" si="25">+H22*F22</f>
        <v>201.6</v>
      </c>
      <c r="J22" s="19">
        <v>1200</v>
      </c>
      <c r="K22" s="20">
        <f t="shared" ref="K22" si="26">+J22*I22/1000</f>
        <v>241.92</v>
      </c>
    </row>
    <row r="23" spans="1:11">
      <c r="A23" s="6">
        <v>46100</v>
      </c>
      <c r="B23" s="6" t="s">
        <v>47</v>
      </c>
      <c r="C23" s="3">
        <v>1</v>
      </c>
      <c r="D23" s="4">
        <v>0.3</v>
      </c>
      <c r="E23" s="5">
        <v>0.5</v>
      </c>
      <c r="F23" s="3">
        <v>300</v>
      </c>
      <c r="G23" s="3" t="s">
        <v>10</v>
      </c>
      <c r="H23" s="3">
        <f t="shared" si="21"/>
        <v>0.15</v>
      </c>
      <c r="I23" s="3">
        <f t="shared" si="22"/>
        <v>45</v>
      </c>
      <c r="J23" s="18">
        <v>985</v>
      </c>
      <c r="K23" s="20">
        <f t="shared" si="23"/>
        <v>44.325000000000003</v>
      </c>
    </row>
    <row r="24" spans="1:11">
      <c r="A24" s="6">
        <v>46100</v>
      </c>
      <c r="B24" s="6" t="s">
        <v>48</v>
      </c>
      <c r="C24" s="3">
        <v>1</v>
      </c>
      <c r="D24" s="4">
        <v>0.3</v>
      </c>
      <c r="E24" s="5">
        <v>0.5</v>
      </c>
      <c r="F24" s="3">
        <v>300</v>
      </c>
      <c r="G24" s="3" t="s">
        <v>10</v>
      </c>
      <c r="H24" s="3">
        <f t="shared" ref="H24" si="27">+D24*E24</f>
        <v>0.15</v>
      </c>
      <c r="I24" s="3">
        <f t="shared" ref="I24" si="28">+H24*F24</f>
        <v>45</v>
      </c>
      <c r="J24" s="18">
        <v>3575</v>
      </c>
      <c r="K24" s="20">
        <f t="shared" ref="K24" si="29">+J24*I24/1000</f>
        <v>160.875</v>
      </c>
    </row>
    <row r="25" spans="1:11">
      <c r="A25" s="6">
        <v>46100</v>
      </c>
      <c r="B25" s="6" t="s">
        <v>49</v>
      </c>
      <c r="C25" s="3">
        <v>1</v>
      </c>
      <c r="D25" s="4">
        <v>0.3</v>
      </c>
      <c r="E25" s="5">
        <v>0.5</v>
      </c>
      <c r="F25" s="3">
        <v>300</v>
      </c>
      <c r="G25" s="3" t="s">
        <v>10</v>
      </c>
      <c r="H25" s="3">
        <f t="shared" ref="H25:H28" si="30">+D25*E25</f>
        <v>0.15</v>
      </c>
      <c r="I25" s="3">
        <f t="shared" ref="I25:I28" si="31">+H25*F25</f>
        <v>45</v>
      </c>
      <c r="J25" s="18">
        <v>3575</v>
      </c>
      <c r="K25" s="20">
        <f t="shared" ref="K25:K28" si="32">+J25*I25/1000</f>
        <v>160.875</v>
      </c>
    </row>
    <row r="26" spans="1:11">
      <c r="A26" s="6">
        <v>46101</v>
      </c>
      <c r="B26" s="10" t="s">
        <v>32</v>
      </c>
      <c r="C26" s="3">
        <v>1</v>
      </c>
      <c r="D26" s="4">
        <v>0.6</v>
      </c>
      <c r="E26" s="5">
        <v>1.2</v>
      </c>
      <c r="F26" s="3">
        <v>280</v>
      </c>
      <c r="G26" s="3" t="s">
        <v>13</v>
      </c>
      <c r="H26" s="3">
        <f t="shared" si="30"/>
        <v>0.72</v>
      </c>
      <c r="I26" s="3">
        <f t="shared" si="31"/>
        <v>201.6</v>
      </c>
      <c r="J26" s="19">
        <v>2400</v>
      </c>
      <c r="K26" s="20">
        <f t="shared" si="32"/>
        <v>483.84</v>
      </c>
    </row>
    <row r="27" spans="1:11">
      <c r="A27" s="6">
        <v>46102</v>
      </c>
      <c r="B27" s="10" t="s">
        <v>29</v>
      </c>
      <c r="C27" s="3">
        <v>1</v>
      </c>
      <c r="D27" s="4">
        <v>0.6</v>
      </c>
      <c r="E27" s="5">
        <v>1.2</v>
      </c>
      <c r="F27" s="3">
        <v>280</v>
      </c>
      <c r="G27" s="3" t="s">
        <v>13</v>
      </c>
      <c r="H27" s="3">
        <f t="shared" si="30"/>
        <v>0.72</v>
      </c>
      <c r="I27" s="3">
        <f t="shared" si="31"/>
        <v>201.6</v>
      </c>
      <c r="J27" s="19">
        <v>1200</v>
      </c>
      <c r="K27" s="20">
        <f t="shared" si="32"/>
        <v>241.92</v>
      </c>
    </row>
    <row r="28" spans="1:11">
      <c r="A28" s="6">
        <v>46102</v>
      </c>
      <c r="B28" s="10" t="s">
        <v>45</v>
      </c>
      <c r="C28" s="3">
        <v>1</v>
      </c>
      <c r="D28" s="4">
        <v>0.6</v>
      </c>
      <c r="E28" s="5">
        <v>1.2</v>
      </c>
      <c r="F28" s="3">
        <v>280</v>
      </c>
      <c r="G28" s="3" t="s">
        <v>13</v>
      </c>
      <c r="H28" s="3">
        <f t="shared" si="30"/>
        <v>0.72</v>
      </c>
      <c r="I28" s="3">
        <f t="shared" si="31"/>
        <v>201.6</v>
      </c>
      <c r="J28" s="19">
        <v>603</v>
      </c>
      <c r="K28" s="20">
        <f t="shared" si="32"/>
        <v>121.56480000000001</v>
      </c>
    </row>
    <row r="29" spans="1:11">
      <c r="A29" s="6">
        <v>46105</v>
      </c>
      <c r="B29" s="10" t="s">
        <v>45</v>
      </c>
      <c r="C29" s="3">
        <v>1</v>
      </c>
      <c r="D29" s="4">
        <v>0.6</v>
      </c>
      <c r="E29" s="5">
        <v>1.2</v>
      </c>
      <c r="F29" s="3">
        <v>280</v>
      </c>
      <c r="G29" s="3" t="s">
        <v>13</v>
      </c>
      <c r="H29" s="3">
        <f t="shared" ref="H29:H31" si="33">+D29*E29</f>
        <v>0.72</v>
      </c>
      <c r="I29" s="3">
        <f t="shared" ref="I29:I31" si="34">+H29*F29</f>
        <v>201.6</v>
      </c>
      <c r="J29" s="19">
        <v>600</v>
      </c>
      <c r="K29" s="20">
        <f t="shared" ref="K29:K31" si="35">+J29*I29/1000</f>
        <v>120.96</v>
      </c>
    </row>
    <row r="30" spans="1:11">
      <c r="A30" s="6">
        <v>46105</v>
      </c>
      <c r="B30" s="10" t="s">
        <v>14</v>
      </c>
      <c r="C30" s="3">
        <v>1</v>
      </c>
      <c r="D30" s="4">
        <v>0.6</v>
      </c>
      <c r="E30" s="5">
        <v>1.2</v>
      </c>
      <c r="F30" s="3">
        <v>280</v>
      </c>
      <c r="G30" s="3" t="s">
        <v>13</v>
      </c>
      <c r="H30" s="3">
        <f t="shared" si="33"/>
        <v>0.72</v>
      </c>
      <c r="I30" s="3">
        <f t="shared" si="34"/>
        <v>201.6</v>
      </c>
      <c r="J30" s="19">
        <v>1200</v>
      </c>
      <c r="K30" s="20">
        <f t="shared" si="35"/>
        <v>241.92</v>
      </c>
    </row>
    <row r="31" spans="1:11">
      <c r="A31" s="6">
        <v>46105</v>
      </c>
      <c r="B31" s="10" t="s">
        <v>30</v>
      </c>
      <c r="C31" s="3">
        <v>1</v>
      </c>
      <c r="D31" s="4">
        <v>0.6</v>
      </c>
      <c r="E31" s="5">
        <v>1.2</v>
      </c>
      <c r="F31" s="3">
        <v>280</v>
      </c>
      <c r="G31" s="3" t="s">
        <v>13</v>
      </c>
      <c r="H31" s="3">
        <f t="shared" si="33"/>
        <v>0.72</v>
      </c>
      <c r="I31" s="3">
        <f t="shared" si="34"/>
        <v>201.6</v>
      </c>
      <c r="J31" s="19">
        <v>36</v>
      </c>
      <c r="K31" s="20">
        <f t="shared" si="35"/>
        <v>7.2575999999999992</v>
      </c>
    </row>
    <row r="32" spans="1:11">
      <c r="A32" s="6">
        <v>46106</v>
      </c>
      <c r="B32" s="10" t="s">
        <v>30</v>
      </c>
      <c r="C32" s="3">
        <v>1</v>
      </c>
      <c r="D32" s="4">
        <v>0.6</v>
      </c>
      <c r="E32" s="5">
        <v>1.2</v>
      </c>
      <c r="F32" s="3">
        <v>280</v>
      </c>
      <c r="G32" s="3" t="s">
        <v>13</v>
      </c>
      <c r="H32" s="3">
        <f t="shared" ref="H32:H35" si="36">+D32*E32</f>
        <v>0.72</v>
      </c>
      <c r="I32" s="3">
        <f t="shared" ref="I32:I35" si="37">+H32*F32</f>
        <v>201.6</v>
      </c>
      <c r="J32" s="19">
        <v>1164</v>
      </c>
      <c r="K32" s="20">
        <f t="shared" ref="K32:K35" si="38">+J32*I32/1000</f>
        <v>234.66239999999999</v>
      </c>
    </row>
    <row r="33" spans="1:11">
      <c r="A33" s="6">
        <v>46106</v>
      </c>
      <c r="B33" s="10" t="s">
        <v>51</v>
      </c>
      <c r="C33" s="3">
        <v>1</v>
      </c>
      <c r="D33" s="4">
        <v>0.6</v>
      </c>
      <c r="E33" s="5">
        <v>1.2</v>
      </c>
      <c r="F33" s="3">
        <v>280</v>
      </c>
      <c r="G33" s="3" t="s">
        <v>13</v>
      </c>
      <c r="H33" s="3">
        <f t="shared" si="36"/>
        <v>0.72</v>
      </c>
      <c r="I33" s="3">
        <f t="shared" si="37"/>
        <v>201.6</v>
      </c>
      <c r="J33" s="19">
        <v>1200</v>
      </c>
      <c r="K33" s="20">
        <f t="shared" si="38"/>
        <v>241.92</v>
      </c>
    </row>
    <row r="34" spans="1:11">
      <c r="A34" s="6">
        <v>46107</v>
      </c>
      <c r="B34" s="10" t="s">
        <v>50</v>
      </c>
      <c r="C34" s="3">
        <v>1</v>
      </c>
      <c r="D34" s="4">
        <v>0.6</v>
      </c>
      <c r="E34" s="5">
        <v>1.2</v>
      </c>
      <c r="F34" s="3">
        <v>280</v>
      </c>
      <c r="G34" s="3" t="s">
        <v>13</v>
      </c>
      <c r="H34" s="3">
        <f t="shared" si="36"/>
        <v>0.72</v>
      </c>
      <c r="I34" s="3">
        <f t="shared" si="37"/>
        <v>201.6</v>
      </c>
      <c r="J34" s="19">
        <v>1200</v>
      </c>
      <c r="K34" s="20">
        <f t="shared" si="38"/>
        <v>241.92</v>
      </c>
    </row>
    <row r="35" spans="1:11">
      <c r="A35" s="6">
        <v>46107</v>
      </c>
      <c r="B35" s="3" t="s">
        <v>52</v>
      </c>
      <c r="C35" s="3">
        <v>1</v>
      </c>
      <c r="D35" s="4">
        <v>0.6</v>
      </c>
      <c r="E35" s="5">
        <v>1.2</v>
      </c>
      <c r="F35" s="3">
        <v>280</v>
      </c>
      <c r="G35" s="3" t="s">
        <v>13</v>
      </c>
      <c r="H35" s="3">
        <f t="shared" si="36"/>
        <v>0.72</v>
      </c>
      <c r="I35" s="3">
        <f t="shared" si="37"/>
        <v>201.6</v>
      </c>
      <c r="J35" s="19">
        <v>465</v>
      </c>
      <c r="K35" s="20">
        <f t="shared" si="38"/>
        <v>93.744</v>
      </c>
    </row>
    <row r="36" spans="1:11">
      <c r="A36" s="6">
        <v>46108</v>
      </c>
      <c r="B36" s="3" t="s">
        <v>52</v>
      </c>
      <c r="C36" s="3">
        <v>1</v>
      </c>
      <c r="D36" s="4">
        <v>0.6</v>
      </c>
      <c r="E36" s="5">
        <v>1.2</v>
      </c>
      <c r="F36" s="3">
        <v>280</v>
      </c>
      <c r="G36" s="3" t="s">
        <v>13</v>
      </c>
      <c r="H36" s="3">
        <f t="shared" ref="H36:H39" si="39">+D36*E36</f>
        <v>0.72</v>
      </c>
      <c r="I36" s="3">
        <f t="shared" ref="I36:I39" si="40">+H36*F36</f>
        <v>201.6</v>
      </c>
      <c r="J36" s="19">
        <v>765</v>
      </c>
      <c r="K36" s="20">
        <f t="shared" ref="K36:K39" si="41">+J36*I36/1000</f>
        <v>154.22399999999999</v>
      </c>
    </row>
    <row r="37" spans="1:11">
      <c r="A37" s="6">
        <v>46108</v>
      </c>
      <c r="B37" s="10" t="s">
        <v>46</v>
      </c>
      <c r="C37" s="3">
        <v>1</v>
      </c>
      <c r="D37" s="4">
        <v>0.6</v>
      </c>
      <c r="E37" s="5">
        <v>1.2</v>
      </c>
      <c r="F37" s="3">
        <v>280</v>
      </c>
      <c r="G37" s="3" t="s">
        <v>13</v>
      </c>
      <c r="H37" s="3">
        <f t="shared" si="39"/>
        <v>0.72</v>
      </c>
      <c r="I37" s="3">
        <f t="shared" si="40"/>
        <v>201.6</v>
      </c>
      <c r="J37" s="19">
        <v>1200</v>
      </c>
      <c r="K37" s="20">
        <f t="shared" si="41"/>
        <v>241.92</v>
      </c>
    </row>
    <row r="38" spans="1:11">
      <c r="A38" s="6">
        <v>46109</v>
      </c>
      <c r="B38" s="6" t="s">
        <v>43</v>
      </c>
      <c r="C38" s="3">
        <v>1</v>
      </c>
      <c r="D38" s="4">
        <v>0.3</v>
      </c>
      <c r="E38" s="5">
        <v>0.5</v>
      </c>
      <c r="F38" s="3">
        <v>300</v>
      </c>
      <c r="G38" s="3" t="s">
        <v>10</v>
      </c>
      <c r="H38" s="3">
        <f t="shared" si="39"/>
        <v>0.15</v>
      </c>
      <c r="I38" s="3">
        <f t="shared" si="40"/>
        <v>45</v>
      </c>
      <c r="J38" s="18">
        <v>4002</v>
      </c>
      <c r="K38" s="20">
        <f t="shared" si="41"/>
        <v>180.09</v>
      </c>
    </row>
    <row r="39" spans="1:11">
      <c r="A39" s="6">
        <v>46109</v>
      </c>
      <c r="B39" s="6" t="s">
        <v>19</v>
      </c>
      <c r="C39" s="3">
        <v>1</v>
      </c>
      <c r="D39" s="4">
        <v>0.3</v>
      </c>
      <c r="E39" s="5">
        <v>0.5</v>
      </c>
      <c r="F39" s="3">
        <v>300</v>
      </c>
      <c r="G39" s="3" t="s">
        <v>10</v>
      </c>
      <c r="H39" s="3">
        <f t="shared" si="39"/>
        <v>0.15</v>
      </c>
      <c r="I39" s="3">
        <f t="shared" si="40"/>
        <v>45</v>
      </c>
      <c r="J39" s="18">
        <v>3000</v>
      </c>
      <c r="K39" s="20">
        <f t="shared" si="41"/>
        <v>135</v>
      </c>
    </row>
    <row r="40" spans="1:11">
      <c r="A40" s="6">
        <v>46111</v>
      </c>
      <c r="B40" s="6" t="s">
        <v>19</v>
      </c>
      <c r="C40" s="3">
        <v>1</v>
      </c>
      <c r="D40" s="4">
        <v>0.3</v>
      </c>
      <c r="E40" s="5">
        <v>0.5</v>
      </c>
      <c r="F40" s="3">
        <v>300</v>
      </c>
      <c r="G40" s="3" t="s">
        <v>10</v>
      </c>
      <c r="H40" s="3">
        <f t="shared" ref="H40:H41" si="42">+D40*E40</f>
        <v>0.15</v>
      </c>
      <c r="I40" s="3">
        <f t="shared" ref="I40:I41" si="43">+H40*F40</f>
        <v>45</v>
      </c>
      <c r="J40" s="18">
        <v>1074</v>
      </c>
      <c r="K40" s="20">
        <f t="shared" ref="K40:K41" si="44">+J40*I40/1000</f>
        <v>48.33</v>
      </c>
    </row>
    <row r="41" spans="1:11">
      <c r="A41" s="6">
        <v>46111</v>
      </c>
      <c r="B41" s="3" t="s">
        <v>44</v>
      </c>
      <c r="C41" s="7">
        <v>1</v>
      </c>
      <c r="D41" s="4">
        <v>0.6</v>
      </c>
      <c r="E41" s="5">
        <v>1.2</v>
      </c>
      <c r="F41" s="3">
        <v>320</v>
      </c>
      <c r="G41" s="3" t="s">
        <v>10</v>
      </c>
      <c r="H41" s="3">
        <f t="shared" si="42"/>
        <v>0.72</v>
      </c>
      <c r="I41" s="3">
        <f t="shared" si="43"/>
        <v>230.39999999999998</v>
      </c>
      <c r="J41" s="18">
        <v>1056</v>
      </c>
      <c r="K41" s="20">
        <f t="shared" si="44"/>
        <v>243.30239999999998</v>
      </c>
    </row>
    <row r="42" spans="1:11">
      <c r="A42" s="6">
        <v>46111</v>
      </c>
      <c r="B42" s="3" t="s">
        <v>40</v>
      </c>
      <c r="C42" s="7">
        <v>1</v>
      </c>
      <c r="D42" s="4">
        <v>0.6</v>
      </c>
      <c r="E42" s="5">
        <v>1.2</v>
      </c>
      <c r="F42" s="3">
        <v>320</v>
      </c>
      <c r="G42" s="3" t="s">
        <v>10</v>
      </c>
      <c r="H42" s="3">
        <f>+D42*E42</f>
        <v>0.72</v>
      </c>
      <c r="I42" s="3">
        <f>+H42*F42</f>
        <v>230.39999999999998</v>
      </c>
      <c r="J42" s="18">
        <v>600</v>
      </c>
      <c r="K42" s="20">
        <f>+J42*I42/1000</f>
        <v>138.24</v>
      </c>
    </row>
    <row r="43" spans="1:11">
      <c r="A43" s="6">
        <v>46112</v>
      </c>
      <c r="B43" s="3" t="s">
        <v>38</v>
      </c>
      <c r="C43" s="7">
        <v>1</v>
      </c>
      <c r="D43" s="4">
        <v>0.6</v>
      </c>
      <c r="E43" s="5">
        <v>1.2</v>
      </c>
      <c r="F43" s="3">
        <v>320</v>
      </c>
      <c r="G43" s="3" t="s">
        <v>10</v>
      </c>
      <c r="H43" s="3">
        <f t="shared" ref="H43:H44" si="45">+D43*E43</f>
        <v>0.72</v>
      </c>
      <c r="I43" s="3">
        <f t="shared" ref="I43:I44" si="46">+H43*F43</f>
        <v>230.39999999999998</v>
      </c>
      <c r="J43" s="18">
        <v>600</v>
      </c>
      <c r="K43" s="20">
        <f t="shared" ref="K43:K44" si="47">+J43*I43/1000</f>
        <v>138.24</v>
      </c>
    </row>
    <row r="44" spans="1:11">
      <c r="A44" s="6">
        <v>46112</v>
      </c>
      <c r="B44" s="11" t="s">
        <v>11</v>
      </c>
      <c r="C44" s="3">
        <v>1</v>
      </c>
      <c r="D44" s="4">
        <v>0.6</v>
      </c>
      <c r="E44" s="5">
        <v>1.2</v>
      </c>
      <c r="F44" s="3">
        <v>280</v>
      </c>
      <c r="G44" s="3" t="s">
        <v>13</v>
      </c>
      <c r="H44" s="3">
        <f t="shared" si="45"/>
        <v>0.72</v>
      </c>
      <c r="I44" s="3">
        <f t="shared" si="46"/>
        <v>201.6</v>
      </c>
      <c r="J44" s="18">
        <v>1200</v>
      </c>
      <c r="K44" s="20">
        <f t="shared" si="47"/>
        <v>241.92</v>
      </c>
    </row>
    <row r="45" spans="1:11">
      <c r="A45" s="28" t="s">
        <v>99</v>
      </c>
      <c r="B45" s="14"/>
      <c r="C45" s="14"/>
      <c r="D45" s="14"/>
      <c r="E45" s="14"/>
      <c r="F45" s="14"/>
      <c r="G45" s="14"/>
      <c r="H45" s="14"/>
      <c r="I45" s="14"/>
      <c r="J45" s="23">
        <f>SUM(J2:J44)</f>
        <v>66395</v>
      </c>
      <c r="K45" s="24">
        <f>SUM(K2:K44)</f>
        <v>8544.6342000000004</v>
      </c>
    </row>
    <row r="46" spans="1:11">
      <c r="A46" s="6"/>
      <c r="B46" s="14"/>
      <c r="C46" s="14"/>
      <c r="D46" s="14"/>
      <c r="E46" s="14"/>
      <c r="F46" s="14"/>
      <c r="G46" s="14"/>
      <c r="H46" s="14"/>
      <c r="I46" s="14"/>
      <c r="J46" s="15"/>
      <c r="K46" s="14"/>
    </row>
  </sheetData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7"/>
  <sheetViews>
    <sheetView zoomScale="90" zoomScaleNormal="90" workbookViewId="0">
      <selection activeCell="A47" sqref="A47"/>
    </sheetView>
  </sheetViews>
  <sheetFormatPr baseColWidth="10" defaultRowHeight="15"/>
  <cols>
    <col min="1" max="1" width="12.7109375" customWidth="1"/>
    <col min="2" max="2" width="19.7109375" customWidth="1"/>
    <col min="3" max="3" width="14" customWidth="1"/>
    <col min="4" max="4" width="13" customWidth="1"/>
    <col min="5" max="5" width="13.28515625" customWidth="1"/>
    <col min="6" max="6" width="12.5703125" customWidth="1"/>
    <col min="7" max="7" width="15.28515625" customWidth="1"/>
    <col min="8" max="8" width="14.42578125" customWidth="1"/>
    <col min="9" max="9" width="15.28515625" customWidth="1"/>
    <col min="10" max="10" width="13.85546875" customWidth="1"/>
    <col min="11" max="11" width="15.28515625" customWidth="1"/>
  </cols>
  <sheetData>
    <row r="1" spans="1:14">
      <c r="A1" s="21" t="s">
        <v>0</v>
      </c>
      <c r="B1" s="1" t="s">
        <v>1</v>
      </c>
      <c r="C1" s="1" t="s">
        <v>2</v>
      </c>
      <c r="D1" s="1" t="s">
        <v>3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4">
      <c r="A2" s="6">
        <v>46113</v>
      </c>
      <c r="B2" s="6" t="s">
        <v>23</v>
      </c>
      <c r="C2" s="3">
        <v>1</v>
      </c>
      <c r="D2" s="4">
        <v>0.6</v>
      </c>
      <c r="E2" s="5">
        <v>1.2</v>
      </c>
      <c r="F2" s="3">
        <v>280</v>
      </c>
      <c r="G2" s="3" t="s">
        <v>13</v>
      </c>
      <c r="H2" s="3">
        <f t="shared" ref="H2:H3" si="0">+D2*E2</f>
        <v>0.72</v>
      </c>
      <c r="I2" s="3">
        <f t="shared" ref="I2:I3" si="1">+H2*F2</f>
        <v>201.6</v>
      </c>
      <c r="J2" s="18">
        <v>1200</v>
      </c>
      <c r="K2" s="20">
        <f t="shared" ref="K2:K3" si="2">+J2*I2/1000</f>
        <v>241.92</v>
      </c>
    </row>
    <row r="3" spans="1:14">
      <c r="A3" s="6">
        <v>46113</v>
      </c>
      <c r="B3" s="3" t="s">
        <v>53</v>
      </c>
      <c r="C3" s="7">
        <v>1</v>
      </c>
      <c r="D3" s="4">
        <v>0.6</v>
      </c>
      <c r="E3" s="5">
        <v>1.2</v>
      </c>
      <c r="F3" s="3">
        <v>320</v>
      </c>
      <c r="G3" s="3" t="s">
        <v>10</v>
      </c>
      <c r="H3" s="3">
        <f t="shared" si="0"/>
        <v>0.72</v>
      </c>
      <c r="I3" s="3">
        <f t="shared" si="1"/>
        <v>230.39999999999998</v>
      </c>
      <c r="J3" s="18">
        <v>600</v>
      </c>
      <c r="K3" s="20">
        <f t="shared" si="2"/>
        <v>138.24</v>
      </c>
    </row>
    <row r="4" spans="1:14">
      <c r="A4" s="6">
        <v>46113</v>
      </c>
      <c r="B4" s="3" t="s">
        <v>54</v>
      </c>
      <c r="C4" s="7">
        <v>1</v>
      </c>
      <c r="D4" s="4">
        <v>0.6</v>
      </c>
      <c r="E4" s="5">
        <v>1.2</v>
      </c>
      <c r="F4" s="3">
        <v>320</v>
      </c>
      <c r="G4" s="3" t="s">
        <v>10</v>
      </c>
      <c r="H4" s="3">
        <f t="shared" ref="H4:H5" si="3">+D4*E4</f>
        <v>0.72</v>
      </c>
      <c r="I4" s="3">
        <f t="shared" ref="I4:I5" si="4">+H4*F4</f>
        <v>230.39999999999998</v>
      </c>
      <c r="J4" s="18">
        <v>750</v>
      </c>
      <c r="K4" s="20">
        <f t="shared" ref="K4:K5" si="5">+J4*I4/1000</f>
        <v>172.79999999999998</v>
      </c>
      <c r="N4" s="26" t="s">
        <v>60</v>
      </c>
    </row>
    <row r="5" spans="1:14">
      <c r="A5" s="6">
        <v>46118</v>
      </c>
      <c r="B5" s="6" t="s">
        <v>55</v>
      </c>
      <c r="C5" s="3">
        <v>1</v>
      </c>
      <c r="D5" s="4">
        <v>0.6</v>
      </c>
      <c r="E5" s="5">
        <v>1.2</v>
      </c>
      <c r="F5" s="3">
        <v>280</v>
      </c>
      <c r="G5" s="3" t="s">
        <v>13</v>
      </c>
      <c r="H5" s="3">
        <f t="shared" si="3"/>
        <v>0.72</v>
      </c>
      <c r="I5" s="3">
        <f t="shared" si="4"/>
        <v>201.6</v>
      </c>
      <c r="J5" s="18">
        <v>1200</v>
      </c>
      <c r="K5" s="20">
        <f t="shared" si="5"/>
        <v>241.92</v>
      </c>
    </row>
    <row r="6" spans="1:14">
      <c r="A6" s="6">
        <v>46118</v>
      </c>
      <c r="B6" s="6" t="s">
        <v>56</v>
      </c>
      <c r="C6" s="3">
        <v>1</v>
      </c>
      <c r="D6" s="4">
        <v>0.6</v>
      </c>
      <c r="E6" s="5">
        <v>1.2</v>
      </c>
      <c r="F6" s="3">
        <v>280</v>
      </c>
      <c r="G6" s="3" t="s">
        <v>13</v>
      </c>
      <c r="H6" s="3">
        <f t="shared" ref="H6" si="6">+D6*E6</f>
        <v>0.72</v>
      </c>
      <c r="I6" s="3">
        <f t="shared" ref="I6" si="7">+H6*F6</f>
        <v>201.6</v>
      </c>
      <c r="J6" s="18">
        <v>42</v>
      </c>
      <c r="K6" s="20">
        <f t="shared" ref="K6" si="8">+J6*I6/1000</f>
        <v>8.4671999999999983</v>
      </c>
    </row>
    <row r="7" spans="1:14">
      <c r="A7" s="6">
        <v>46119</v>
      </c>
      <c r="B7" s="6" t="s">
        <v>56</v>
      </c>
      <c r="C7" s="3">
        <v>1</v>
      </c>
      <c r="D7" s="4">
        <v>0.6</v>
      </c>
      <c r="E7" s="5">
        <v>1.2</v>
      </c>
      <c r="F7" s="3">
        <v>280</v>
      </c>
      <c r="G7" s="3" t="s">
        <v>13</v>
      </c>
      <c r="H7" s="3">
        <f t="shared" ref="H7" si="9">+D7*E7</f>
        <v>0.72</v>
      </c>
      <c r="I7" s="3">
        <f t="shared" ref="I7" si="10">+H7*F7</f>
        <v>201.6</v>
      </c>
      <c r="J7" s="18">
        <v>386</v>
      </c>
      <c r="K7" s="20">
        <f t="shared" ref="K7" si="11">+J7*I7/1000</f>
        <v>77.817599999999985</v>
      </c>
    </row>
    <row r="8" spans="1:14">
      <c r="A8" s="6">
        <v>46119</v>
      </c>
      <c r="B8" s="6" t="s">
        <v>51</v>
      </c>
      <c r="C8" s="3">
        <v>1</v>
      </c>
      <c r="D8" s="4">
        <v>0.6</v>
      </c>
      <c r="E8" s="5">
        <v>1.2</v>
      </c>
      <c r="F8" s="3">
        <v>280</v>
      </c>
      <c r="G8" s="3" t="s">
        <v>13</v>
      </c>
      <c r="H8" s="3">
        <f t="shared" ref="H8" si="12">+D8*E8</f>
        <v>0.72</v>
      </c>
      <c r="I8" s="3">
        <f t="shared" ref="I8" si="13">+H8*F8</f>
        <v>201.6</v>
      </c>
      <c r="J8" s="18">
        <v>120</v>
      </c>
      <c r="K8" s="20">
        <f t="shared" ref="K8" si="14">+J8*I8/1000</f>
        <v>24.192</v>
      </c>
    </row>
    <row r="9" spans="1:14">
      <c r="A9" s="6">
        <v>46119</v>
      </c>
      <c r="B9" s="6" t="s">
        <v>50</v>
      </c>
      <c r="C9" s="3">
        <v>1</v>
      </c>
      <c r="D9" s="4">
        <v>0.6</v>
      </c>
      <c r="E9" s="5">
        <v>1.2</v>
      </c>
      <c r="F9" s="3">
        <v>280</v>
      </c>
      <c r="G9" s="3" t="s">
        <v>13</v>
      </c>
      <c r="H9" s="3">
        <f t="shared" ref="H9" si="15">+D9*E9</f>
        <v>0.72</v>
      </c>
      <c r="I9" s="3">
        <f t="shared" ref="I9" si="16">+H9*F9</f>
        <v>201.6</v>
      </c>
      <c r="J9" s="18">
        <v>765</v>
      </c>
      <c r="K9" s="20">
        <f t="shared" ref="K9" si="17">+J9*I9/1000</f>
        <v>154.22399999999999</v>
      </c>
    </row>
    <row r="10" spans="1:14">
      <c r="A10" s="6">
        <v>46120</v>
      </c>
      <c r="B10" s="6" t="s">
        <v>50</v>
      </c>
      <c r="C10" s="3">
        <v>1</v>
      </c>
      <c r="D10" s="4">
        <v>0.6</v>
      </c>
      <c r="E10" s="5">
        <v>1.2</v>
      </c>
      <c r="F10" s="3">
        <v>280</v>
      </c>
      <c r="G10" s="3" t="s">
        <v>13</v>
      </c>
      <c r="H10" s="3">
        <f t="shared" ref="H10:H11" si="18">+D10*E10</f>
        <v>0.72</v>
      </c>
      <c r="I10" s="3">
        <f t="shared" ref="I10:I11" si="19">+H10*F10</f>
        <v>201.6</v>
      </c>
      <c r="J10" s="18">
        <v>435</v>
      </c>
      <c r="K10" s="20">
        <f t="shared" ref="K10:K11" si="20">+J10*I10/1000</f>
        <v>87.695999999999998</v>
      </c>
    </row>
    <row r="11" spans="1:14">
      <c r="A11" s="6">
        <v>46120</v>
      </c>
      <c r="B11" s="6" t="s">
        <v>51</v>
      </c>
      <c r="C11" s="3">
        <v>1</v>
      </c>
      <c r="D11" s="4">
        <v>0.6</v>
      </c>
      <c r="E11" s="5">
        <v>1.2</v>
      </c>
      <c r="F11" s="3">
        <v>280</v>
      </c>
      <c r="G11" s="3" t="s">
        <v>13</v>
      </c>
      <c r="H11" s="3">
        <f t="shared" si="18"/>
        <v>0.72</v>
      </c>
      <c r="I11" s="3">
        <f t="shared" si="19"/>
        <v>201.6</v>
      </c>
      <c r="J11" s="18">
        <v>1080</v>
      </c>
      <c r="K11" s="20">
        <f t="shared" si="20"/>
        <v>217.72800000000001</v>
      </c>
    </row>
    <row r="12" spans="1:14">
      <c r="A12" s="6">
        <v>46120</v>
      </c>
      <c r="B12" s="6" t="s">
        <v>15</v>
      </c>
      <c r="C12" s="3">
        <v>1</v>
      </c>
      <c r="D12" s="4">
        <v>0.6</v>
      </c>
      <c r="E12" s="5">
        <v>1.2</v>
      </c>
      <c r="F12" s="3">
        <v>280</v>
      </c>
      <c r="G12" s="3" t="s">
        <v>13</v>
      </c>
      <c r="H12" s="3">
        <f t="shared" ref="H12" si="21">+D12*E12</f>
        <v>0.72</v>
      </c>
      <c r="I12" s="3">
        <f t="shared" ref="I12" si="22">+H12*F12</f>
        <v>201.6</v>
      </c>
      <c r="J12" s="18">
        <v>444</v>
      </c>
      <c r="K12" s="20">
        <f t="shared" ref="K12" si="23">+J12*I12/1000</f>
        <v>89.51039999999999</v>
      </c>
    </row>
    <row r="13" spans="1:14">
      <c r="A13" s="6">
        <v>46121</v>
      </c>
      <c r="B13" s="6" t="s">
        <v>15</v>
      </c>
      <c r="C13" s="3">
        <v>1</v>
      </c>
      <c r="D13" s="4">
        <v>0.6</v>
      </c>
      <c r="E13" s="5">
        <v>1.2</v>
      </c>
      <c r="F13" s="3">
        <v>280</v>
      </c>
      <c r="G13" s="3" t="s">
        <v>13</v>
      </c>
      <c r="H13" s="3">
        <f t="shared" ref="H13" si="24">+D13*E13</f>
        <v>0.72</v>
      </c>
      <c r="I13" s="3">
        <f t="shared" ref="I13" si="25">+H13*F13</f>
        <v>201.6</v>
      </c>
      <c r="J13" s="18">
        <v>756</v>
      </c>
      <c r="K13" s="20">
        <f t="shared" ref="K13" si="26">+J13*I13/1000</f>
        <v>152.40960000000001</v>
      </c>
    </row>
    <row r="14" spans="1:14">
      <c r="A14" s="6">
        <v>46121</v>
      </c>
      <c r="B14" s="6" t="s">
        <v>57</v>
      </c>
      <c r="C14" s="3">
        <v>1</v>
      </c>
      <c r="D14" s="4">
        <v>0.6</v>
      </c>
      <c r="E14" s="5">
        <v>1.2</v>
      </c>
      <c r="F14" s="3">
        <v>280</v>
      </c>
      <c r="G14" s="3" t="s">
        <v>13</v>
      </c>
      <c r="H14" s="3">
        <f t="shared" ref="H14" si="27">+D14*E14</f>
        <v>0.72</v>
      </c>
      <c r="I14" s="3">
        <f t="shared" ref="I14" si="28">+H14*F14</f>
        <v>201.6</v>
      </c>
      <c r="J14" s="18">
        <v>303</v>
      </c>
      <c r="K14" s="20">
        <f t="shared" ref="K14" si="29">+J14*I14/1000</f>
        <v>61.084799999999994</v>
      </c>
    </row>
    <row r="15" spans="1:14">
      <c r="A15" s="6">
        <v>46121</v>
      </c>
      <c r="B15" s="6" t="s">
        <v>58</v>
      </c>
      <c r="C15" s="3">
        <v>1</v>
      </c>
      <c r="D15" s="4">
        <v>0.6</v>
      </c>
      <c r="E15" s="5">
        <v>1.3</v>
      </c>
      <c r="F15" s="3">
        <v>380</v>
      </c>
      <c r="G15" s="3" t="s">
        <v>13</v>
      </c>
      <c r="H15" s="3">
        <f t="shared" ref="H15:H16" si="30">+D15*E15</f>
        <v>0.78</v>
      </c>
      <c r="I15" s="3">
        <f t="shared" ref="I15:I16" si="31">+H15*F15</f>
        <v>296.40000000000003</v>
      </c>
      <c r="J15" s="18">
        <v>63</v>
      </c>
      <c r="K15" s="20">
        <f t="shared" ref="K15:K16" si="32">+J15*I15/1000</f>
        <v>18.673200000000001</v>
      </c>
    </row>
    <row r="16" spans="1:14">
      <c r="A16" s="6">
        <v>46121</v>
      </c>
      <c r="B16" s="6" t="s">
        <v>43</v>
      </c>
      <c r="C16" s="3">
        <v>1</v>
      </c>
      <c r="D16" s="4">
        <v>0.3</v>
      </c>
      <c r="E16" s="5">
        <v>0.5</v>
      </c>
      <c r="F16" s="3">
        <v>300</v>
      </c>
      <c r="G16" s="3" t="s">
        <v>10</v>
      </c>
      <c r="H16" s="3">
        <f t="shared" si="30"/>
        <v>0.15</v>
      </c>
      <c r="I16" s="3">
        <f t="shared" si="31"/>
        <v>45</v>
      </c>
      <c r="J16" s="18">
        <v>546</v>
      </c>
      <c r="K16" s="20">
        <f t="shared" si="32"/>
        <v>24.57</v>
      </c>
    </row>
    <row r="17" spans="1:11">
      <c r="A17" s="6">
        <v>46122</v>
      </c>
      <c r="B17" s="6" t="s">
        <v>43</v>
      </c>
      <c r="C17" s="3">
        <v>1</v>
      </c>
      <c r="D17" s="4">
        <v>0.3</v>
      </c>
      <c r="E17" s="5">
        <v>0.5</v>
      </c>
      <c r="F17" s="3">
        <v>300</v>
      </c>
      <c r="G17" s="3" t="s">
        <v>10</v>
      </c>
      <c r="H17" s="3">
        <f t="shared" ref="H17" si="33">+D17*E17</f>
        <v>0.15</v>
      </c>
      <c r="I17" s="3">
        <f t="shared" ref="I17" si="34">+H17*F17</f>
        <v>45</v>
      </c>
      <c r="J17" s="18">
        <v>4494</v>
      </c>
      <c r="K17" s="20">
        <f t="shared" ref="K17" si="35">+J17*I17/1000</f>
        <v>202.23</v>
      </c>
    </row>
    <row r="18" spans="1:11">
      <c r="A18" s="6">
        <v>46122</v>
      </c>
      <c r="B18" s="6" t="s">
        <v>59</v>
      </c>
      <c r="C18" s="3">
        <v>1</v>
      </c>
      <c r="D18" s="4">
        <v>0.3</v>
      </c>
      <c r="E18" s="5">
        <v>0.5</v>
      </c>
      <c r="F18" s="3">
        <v>300</v>
      </c>
      <c r="G18" s="3" t="s">
        <v>10</v>
      </c>
      <c r="H18" s="3">
        <f t="shared" ref="H18:H19" si="36">+D18*E18</f>
        <v>0.15</v>
      </c>
      <c r="I18" s="3">
        <f t="shared" ref="I18:I19" si="37">+H18*F18</f>
        <v>45</v>
      </c>
      <c r="J18" s="18">
        <v>5184</v>
      </c>
      <c r="K18" s="20">
        <f t="shared" ref="K18:K19" si="38">+J18*I18/1000</f>
        <v>233.28</v>
      </c>
    </row>
    <row r="19" spans="1:11">
      <c r="A19" s="6">
        <v>46123</v>
      </c>
      <c r="B19" s="6" t="s">
        <v>57</v>
      </c>
      <c r="C19" s="3">
        <v>1</v>
      </c>
      <c r="D19" s="4">
        <v>0.6</v>
      </c>
      <c r="E19" s="5">
        <v>1.2</v>
      </c>
      <c r="F19" s="3">
        <v>280</v>
      </c>
      <c r="G19" s="3" t="s">
        <v>13</v>
      </c>
      <c r="H19" s="3">
        <f t="shared" si="36"/>
        <v>0.72</v>
      </c>
      <c r="I19" s="3">
        <f t="shared" si="37"/>
        <v>201.6</v>
      </c>
      <c r="J19" s="18">
        <v>900</v>
      </c>
      <c r="K19" s="20">
        <f t="shared" si="38"/>
        <v>181.44</v>
      </c>
    </row>
    <row r="20" spans="1:11">
      <c r="A20" s="6">
        <v>46123</v>
      </c>
      <c r="B20" s="6" t="s">
        <v>28</v>
      </c>
      <c r="C20" s="3">
        <v>1</v>
      </c>
      <c r="D20" s="4">
        <v>0.6</v>
      </c>
      <c r="E20" s="5">
        <v>1.2</v>
      </c>
      <c r="F20" s="3">
        <v>280</v>
      </c>
      <c r="G20" s="3" t="s">
        <v>13</v>
      </c>
      <c r="H20" s="3">
        <f t="shared" ref="H20" si="39">+D20*E20</f>
        <v>0.72</v>
      </c>
      <c r="I20" s="3">
        <f t="shared" ref="I20" si="40">+H20*F20</f>
        <v>201.6</v>
      </c>
      <c r="J20" s="18">
        <v>2400</v>
      </c>
      <c r="K20" s="20">
        <f t="shared" ref="K20" si="41">+J20*I20/1000</f>
        <v>483.84</v>
      </c>
    </row>
    <row r="21" spans="1:11">
      <c r="A21" s="6">
        <v>46126</v>
      </c>
      <c r="B21" s="6" t="s">
        <v>29</v>
      </c>
      <c r="C21" s="3">
        <v>1</v>
      </c>
      <c r="D21" s="4">
        <v>0.6</v>
      </c>
      <c r="E21" s="5">
        <v>1.2</v>
      </c>
      <c r="F21" s="3">
        <v>280</v>
      </c>
      <c r="G21" s="3" t="s">
        <v>13</v>
      </c>
      <c r="H21" s="3">
        <f t="shared" ref="H21:H23" si="42">+D21*E21</f>
        <v>0.72</v>
      </c>
      <c r="I21" s="3">
        <f t="shared" ref="I21:I23" si="43">+H21*F21</f>
        <v>201.6</v>
      </c>
      <c r="J21" s="18">
        <v>2400</v>
      </c>
      <c r="K21" s="20">
        <f t="shared" ref="K21:K23" si="44">+J21*I21/1000</f>
        <v>483.84</v>
      </c>
    </row>
    <row r="22" spans="1:11">
      <c r="A22" s="6">
        <v>46127</v>
      </c>
      <c r="B22" s="10" t="s">
        <v>16</v>
      </c>
      <c r="C22" s="3">
        <v>1</v>
      </c>
      <c r="D22" s="4">
        <v>0.6</v>
      </c>
      <c r="E22" s="5">
        <v>1.2</v>
      </c>
      <c r="F22" s="3">
        <v>280</v>
      </c>
      <c r="G22" s="3" t="s">
        <v>13</v>
      </c>
      <c r="H22" s="3">
        <f t="shared" si="42"/>
        <v>0.72</v>
      </c>
      <c r="I22" s="3">
        <f t="shared" si="43"/>
        <v>201.6</v>
      </c>
      <c r="J22" s="19">
        <v>1200</v>
      </c>
      <c r="K22" s="20">
        <f t="shared" si="44"/>
        <v>241.92</v>
      </c>
    </row>
    <row r="23" spans="1:11">
      <c r="A23" s="6">
        <v>46127</v>
      </c>
      <c r="B23" s="10" t="s">
        <v>32</v>
      </c>
      <c r="C23" s="3">
        <v>1</v>
      </c>
      <c r="D23" s="4">
        <v>0.6</v>
      </c>
      <c r="E23" s="5">
        <v>1.2</v>
      </c>
      <c r="F23" s="3">
        <v>280</v>
      </c>
      <c r="G23" s="3" t="s">
        <v>13</v>
      </c>
      <c r="H23" s="3">
        <f t="shared" si="42"/>
        <v>0.72</v>
      </c>
      <c r="I23" s="3">
        <f t="shared" si="43"/>
        <v>201.6</v>
      </c>
      <c r="J23" s="19">
        <v>435</v>
      </c>
      <c r="K23" s="20">
        <f t="shared" si="44"/>
        <v>87.695999999999998</v>
      </c>
    </row>
    <row r="24" spans="1:11">
      <c r="A24" s="6">
        <v>46128</v>
      </c>
      <c r="B24" s="10" t="s">
        <v>32</v>
      </c>
      <c r="C24" s="3">
        <v>1</v>
      </c>
      <c r="D24" s="4">
        <v>0.6</v>
      </c>
      <c r="E24" s="5">
        <v>1.2</v>
      </c>
      <c r="F24" s="3">
        <v>280</v>
      </c>
      <c r="G24" s="3" t="s">
        <v>13</v>
      </c>
      <c r="H24" s="3">
        <f t="shared" ref="H24:H25" si="45">+D24*E24</f>
        <v>0.72</v>
      </c>
      <c r="I24" s="3">
        <f t="shared" ref="I24:I25" si="46">+H24*F24</f>
        <v>201.6</v>
      </c>
      <c r="J24" s="19">
        <v>765</v>
      </c>
      <c r="K24" s="20">
        <f t="shared" ref="K24:K25" si="47">+J24*I24/1000</f>
        <v>154.22399999999999</v>
      </c>
    </row>
    <row r="25" spans="1:11">
      <c r="A25" s="6">
        <v>46128</v>
      </c>
      <c r="B25" s="6" t="s">
        <v>23</v>
      </c>
      <c r="C25" s="3">
        <v>1</v>
      </c>
      <c r="D25" s="4">
        <v>0.6</v>
      </c>
      <c r="E25" s="5">
        <v>1.2</v>
      </c>
      <c r="F25" s="3">
        <v>280</v>
      </c>
      <c r="G25" s="3" t="s">
        <v>13</v>
      </c>
      <c r="H25" s="3">
        <f t="shared" si="45"/>
        <v>0.72</v>
      </c>
      <c r="I25" s="3">
        <f t="shared" si="46"/>
        <v>201.6</v>
      </c>
      <c r="J25" s="18">
        <v>1260</v>
      </c>
      <c r="K25" s="20">
        <f t="shared" si="47"/>
        <v>254.01599999999999</v>
      </c>
    </row>
    <row r="26" spans="1:11">
      <c r="A26" s="6">
        <v>46129</v>
      </c>
      <c r="B26" s="6" t="s">
        <v>23</v>
      </c>
      <c r="C26" s="3">
        <v>1</v>
      </c>
      <c r="D26" s="4">
        <v>0.6</v>
      </c>
      <c r="E26" s="5">
        <v>1.2</v>
      </c>
      <c r="F26" s="3">
        <v>280</v>
      </c>
      <c r="G26" s="3" t="s">
        <v>13</v>
      </c>
      <c r="H26" s="3">
        <f t="shared" ref="H26:H27" si="48">+D26*E26</f>
        <v>0.72</v>
      </c>
      <c r="I26" s="3">
        <f t="shared" ref="I26:I27" si="49">+H26*F26</f>
        <v>201.6</v>
      </c>
      <c r="J26" s="18">
        <v>1140</v>
      </c>
      <c r="K26" s="20">
        <f t="shared" ref="K26:K27" si="50">+J26*I26/1000</f>
        <v>229.82400000000001</v>
      </c>
    </row>
    <row r="27" spans="1:11">
      <c r="A27" s="6">
        <v>46129</v>
      </c>
      <c r="B27" s="6" t="s">
        <v>15</v>
      </c>
      <c r="C27" s="3">
        <v>1</v>
      </c>
      <c r="D27" s="4">
        <v>0.6</v>
      </c>
      <c r="E27" s="5">
        <v>1.2</v>
      </c>
      <c r="F27" s="3">
        <v>280</v>
      </c>
      <c r="G27" s="3" t="s">
        <v>13</v>
      </c>
      <c r="H27" s="3">
        <f t="shared" si="48"/>
        <v>0.72</v>
      </c>
      <c r="I27" s="3">
        <f t="shared" si="49"/>
        <v>201.6</v>
      </c>
      <c r="J27" s="18">
        <v>1446</v>
      </c>
      <c r="K27" s="20">
        <f t="shared" si="50"/>
        <v>291.5136</v>
      </c>
    </row>
    <row r="28" spans="1:11">
      <c r="A28" s="6">
        <v>46130</v>
      </c>
      <c r="B28" s="6" t="s">
        <v>15</v>
      </c>
      <c r="C28" s="3">
        <v>1</v>
      </c>
      <c r="D28" s="4">
        <v>0.6</v>
      </c>
      <c r="E28" s="5">
        <v>1.2</v>
      </c>
      <c r="F28" s="3">
        <v>280</v>
      </c>
      <c r="G28" s="3" t="s">
        <v>13</v>
      </c>
      <c r="H28" s="3">
        <f t="shared" ref="H28:H29" si="51">+D28*E28</f>
        <v>0.72</v>
      </c>
      <c r="I28" s="3">
        <f t="shared" ref="I28:I29" si="52">+H28*F28</f>
        <v>201.6</v>
      </c>
      <c r="J28" s="18">
        <v>954</v>
      </c>
      <c r="K28" s="20">
        <f t="shared" ref="K28:K29" si="53">+J28*I28/1000</f>
        <v>192.32640000000001</v>
      </c>
    </row>
    <row r="29" spans="1:11">
      <c r="A29" s="6">
        <v>46130</v>
      </c>
      <c r="B29" s="6" t="s">
        <v>57</v>
      </c>
      <c r="C29" s="3">
        <v>1</v>
      </c>
      <c r="D29" s="4">
        <v>0.6</v>
      </c>
      <c r="E29" s="5">
        <v>1.2</v>
      </c>
      <c r="F29" s="3">
        <v>280</v>
      </c>
      <c r="G29" s="3" t="s">
        <v>13</v>
      </c>
      <c r="H29" s="3">
        <f t="shared" si="51"/>
        <v>0.72</v>
      </c>
      <c r="I29" s="3">
        <f t="shared" si="52"/>
        <v>201.6</v>
      </c>
      <c r="J29" s="18">
        <v>336</v>
      </c>
      <c r="K29" s="20">
        <f t="shared" si="53"/>
        <v>67.737599999999986</v>
      </c>
    </row>
    <row r="30" spans="1:11">
      <c r="A30" s="6">
        <v>46133</v>
      </c>
      <c r="B30" s="6" t="s">
        <v>57</v>
      </c>
      <c r="C30" s="3">
        <v>1</v>
      </c>
      <c r="D30" s="4">
        <v>0.6</v>
      </c>
      <c r="E30" s="5">
        <v>1.2</v>
      </c>
      <c r="F30" s="3">
        <v>280</v>
      </c>
      <c r="G30" s="3" t="s">
        <v>13</v>
      </c>
      <c r="H30" s="3">
        <f t="shared" ref="H30" si="54">+D30*E30</f>
        <v>0.72</v>
      </c>
      <c r="I30" s="3">
        <f t="shared" ref="I30" si="55">+H30*F30</f>
        <v>201.6</v>
      </c>
      <c r="J30" s="18">
        <v>1431</v>
      </c>
      <c r="K30" s="20">
        <f t="shared" ref="K30" si="56">+J30*I30/1000</f>
        <v>288.4896</v>
      </c>
    </row>
    <row r="31" spans="1:11">
      <c r="A31" s="6">
        <v>46134</v>
      </c>
      <c r="B31" s="6" t="s">
        <v>57</v>
      </c>
      <c r="C31" s="3">
        <v>1</v>
      </c>
      <c r="D31" s="4">
        <v>0.6</v>
      </c>
      <c r="E31" s="5">
        <v>1.2</v>
      </c>
      <c r="F31" s="3">
        <v>280</v>
      </c>
      <c r="G31" s="3" t="s">
        <v>13</v>
      </c>
      <c r="H31" s="3">
        <f t="shared" ref="H31:H32" si="57">+D31*E31</f>
        <v>0.72</v>
      </c>
      <c r="I31" s="3">
        <f t="shared" ref="I31:I32" si="58">+H31*F31</f>
        <v>201.6</v>
      </c>
      <c r="J31" s="18">
        <v>633</v>
      </c>
      <c r="K31" s="20">
        <f t="shared" ref="K31:K32" si="59">+J31*I31/1000</f>
        <v>127.61280000000001</v>
      </c>
    </row>
    <row r="32" spans="1:11">
      <c r="A32" s="6">
        <v>46134</v>
      </c>
      <c r="B32" s="6" t="s">
        <v>56</v>
      </c>
      <c r="C32" s="3">
        <v>1</v>
      </c>
      <c r="D32" s="4">
        <v>0.6</v>
      </c>
      <c r="E32" s="5">
        <v>1.2</v>
      </c>
      <c r="F32" s="3">
        <v>280</v>
      </c>
      <c r="G32" s="3" t="s">
        <v>13</v>
      </c>
      <c r="H32" s="3">
        <f t="shared" si="57"/>
        <v>0.72</v>
      </c>
      <c r="I32" s="3">
        <f t="shared" si="58"/>
        <v>201.6</v>
      </c>
      <c r="J32" s="18">
        <v>1500</v>
      </c>
      <c r="K32" s="20">
        <f t="shared" si="59"/>
        <v>302.39999999999998</v>
      </c>
    </row>
    <row r="33" spans="1:11">
      <c r="A33" s="6">
        <v>46135</v>
      </c>
      <c r="B33" s="6" t="s">
        <v>56</v>
      </c>
      <c r="C33" s="3">
        <v>1</v>
      </c>
      <c r="D33" s="4">
        <v>0.6</v>
      </c>
      <c r="E33" s="5">
        <v>1.2</v>
      </c>
      <c r="F33" s="3">
        <v>280</v>
      </c>
      <c r="G33" s="3" t="s">
        <v>13</v>
      </c>
      <c r="H33" s="3">
        <f t="shared" ref="H33:H34" si="60">+D33*E33</f>
        <v>0.72</v>
      </c>
      <c r="I33" s="3">
        <f t="shared" ref="I33:I34" si="61">+H33*F33</f>
        <v>201.6</v>
      </c>
      <c r="J33" s="18">
        <v>900</v>
      </c>
      <c r="K33" s="20">
        <f t="shared" ref="K33:K34" si="62">+J33*I33/1000</f>
        <v>181.44</v>
      </c>
    </row>
    <row r="34" spans="1:11">
      <c r="A34" s="6">
        <v>46135</v>
      </c>
      <c r="B34" s="6" t="s">
        <v>55</v>
      </c>
      <c r="C34" s="3">
        <v>1</v>
      </c>
      <c r="D34" s="4">
        <v>0.6</v>
      </c>
      <c r="E34" s="5">
        <v>1.2</v>
      </c>
      <c r="F34" s="3">
        <v>280</v>
      </c>
      <c r="G34" s="3" t="s">
        <v>13</v>
      </c>
      <c r="H34" s="3">
        <f t="shared" si="60"/>
        <v>0.72</v>
      </c>
      <c r="I34" s="3">
        <f t="shared" si="61"/>
        <v>201.6</v>
      </c>
      <c r="J34" s="18">
        <v>1563</v>
      </c>
      <c r="K34" s="20">
        <f t="shared" si="62"/>
        <v>315.10079999999999</v>
      </c>
    </row>
    <row r="35" spans="1:11">
      <c r="A35" s="6">
        <v>46136</v>
      </c>
      <c r="B35" s="6" t="s">
        <v>55</v>
      </c>
      <c r="C35" s="3">
        <v>1</v>
      </c>
      <c r="D35" s="4">
        <v>0.6</v>
      </c>
      <c r="E35" s="5">
        <v>1.2</v>
      </c>
      <c r="F35" s="3">
        <v>280</v>
      </c>
      <c r="G35" s="3" t="s">
        <v>13</v>
      </c>
      <c r="H35" s="3">
        <f t="shared" ref="H35:H37" si="63">+D35*E35</f>
        <v>0.72</v>
      </c>
      <c r="I35" s="3">
        <f t="shared" ref="I35:I37" si="64">+H35*F35</f>
        <v>201.6</v>
      </c>
      <c r="J35" s="18">
        <v>981</v>
      </c>
      <c r="K35" s="20">
        <f t="shared" ref="K35:K37" si="65">+J35*I35/1000</f>
        <v>197.7696</v>
      </c>
    </row>
    <row r="36" spans="1:11">
      <c r="A36" s="6">
        <v>46136</v>
      </c>
      <c r="B36" s="6" t="s">
        <v>50</v>
      </c>
      <c r="C36" s="3">
        <v>1</v>
      </c>
      <c r="D36" s="4">
        <v>0.6</v>
      </c>
      <c r="E36" s="5">
        <v>1.2</v>
      </c>
      <c r="F36" s="3">
        <v>280</v>
      </c>
      <c r="G36" s="3" t="s">
        <v>13</v>
      </c>
      <c r="H36" s="3">
        <f t="shared" si="63"/>
        <v>0.72</v>
      </c>
      <c r="I36" s="3">
        <f t="shared" si="64"/>
        <v>201.6</v>
      </c>
      <c r="J36" s="18">
        <v>1200</v>
      </c>
      <c r="K36" s="20">
        <f t="shared" si="65"/>
        <v>241.92</v>
      </c>
    </row>
    <row r="37" spans="1:11">
      <c r="A37" s="6">
        <v>46136</v>
      </c>
      <c r="B37" s="6" t="s">
        <v>51</v>
      </c>
      <c r="C37" s="3">
        <v>1</v>
      </c>
      <c r="D37" s="4">
        <v>0.6</v>
      </c>
      <c r="E37" s="5">
        <v>1.2</v>
      </c>
      <c r="F37" s="3">
        <v>280</v>
      </c>
      <c r="G37" s="3" t="s">
        <v>13</v>
      </c>
      <c r="H37" s="3">
        <f t="shared" si="63"/>
        <v>0.72</v>
      </c>
      <c r="I37" s="3">
        <f t="shared" si="64"/>
        <v>201.6</v>
      </c>
      <c r="J37" s="18">
        <v>573</v>
      </c>
      <c r="K37" s="20">
        <f t="shared" si="65"/>
        <v>115.5168</v>
      </c>
    </row>
    <row r="38" spans="1:11">
      <c r="A38" s="6">
        <v>46139</v>
      </c>
      <c r="B38" s="6" t="s">
        <v>51</v>
      </c>
      <c r="C38" s="3">
        <v>1</v>
      </c>
      <c r="D38" s="4">
        <v>0.6</v>
      </c>
      <c r="E38" s="5">
        <v>1.2</v>
      </c>
      <c r="F38" s="3">
        <v>280</v>
      </c>
      <c r="G38" s="3" t="s">
        <v>13</v>
      </c>
      <c r="H38" s="3">
        <f t="shared" ref="H38:H42" si="66">+D38*E38</f>
        <v>0.72</v>
      </c>
      <c r="I38" s="3">
        <f t="shared" ref="I38:I42" si="67">+H38*F38</f>
        <v>201.6</v>
      </c>
      <c r="J38" s="18">
        <v>627</v>
      </c>
      <c r="K38" s="20">
        <f t="shared" ref="K38:K42" si="68">+J38*I38/1000</f>
        <v>126.4032</v>
      </c>
    </row>
    <row r="39" spans="1:11">
      <c r="A39" s="6">
        <v>46139</v>
      </c>
      <c r="B39" s="6" t="s">
        <v>61</v>
      </c>
      <c r="C39" s="3">
        <v>1</v>
      </c>
      <c r="D39" s="4">
        <v>0.6</v>
      </c>
      <c r="E39" s="5">
        <v>1.2</v>
      </c>
      <c r="F39" s="3">
        <v>280</v>
      </c>
      <c r="G39" s="3" t="s">
        <v>13</v>
      </c>
      <c r="H39" s="3">
        <f t="shared" si="66"/>
        <v>0.72</v>
      </c>
      <c r="I39" s="3">
        <f t="shared" si="67"/>
        <v>201.6</v>
      </c>
      <c r="J39" s="18">
        <v>1200</v>
      </c>
      <c r="K39" s="20">
        <f t="shared" si="68"/>
        <v>241.92</v>
      </c>
    </row>
    <row r="40" spans="1:11">
      <c r="A40" s="6">
        <v>46140</v>
      </c>
      <c r="B40" s="6" t="s">
        <v>43</v>
      </c>
      <c r="C40" s="3">
        <v>1</v>
      </c>
      <c r="D40" s="4">
        <v>0.35</v>
      </c>
      <c r="E40" s="5">
        <v>0.6</v>
      </c>
      <c r="F40" s="3">
        <v>300</v>
      </c>
      <c r="G40" s="3" t="s">
        <v>10</v>
      </c>
      <c r="H40" s="3">
        <f t="shared" si="66"/>
        <v>0.21</v>
      </c>
      <c r="I40" s="3">
        <f t="shared" si="67"/>
        <v>63</v>
      </c>
      <c r="J40" s="18">
        <v>4000</v>
      </c>
      <c r="K40" s="20">
        <f t="shared" si="68"/>
        <v>252</v>
      </c>
    </row>
    <row r="41" spans="1:11">
      <c r="A41" s="6">
        <v>46140</v>
      </c>
      <c r="B41" s="6" t="s">
        <v>59</v>
      </c>
      <c r="C41" s="3">
        <v>1</v>
      </c>
      <c r="D41" s="4">
        <v>0.35</v>
      </c>
      <c r="E41" s="5">
        <v>0.6</v>
      </c>
      <c r="F41" s="3">
        <v>300</v>
      </c>
      <c r="G41" s="3" t="s">
        <v>10</v>
      </c>
      <c r="H41" s="3">
        <f t="shared" si="66"/>
        <v>0.21</v>
      </c>
      <c r="I41" s="3">
        <f t="shared" si="67"/>
        <v>63</v>
      </c>
      <c r="J41" s="18">
        <v>4050</v>
      </c>
      <c r="K41" s="20">
        <f t="shared" si="68"/>
        <v>255.15</v>
      </c>
    </row>
    <row r="42" spans="1:11">
      <c r="A42" s="6">
        <v>46141</v>
      </c>
      <c r="B42" s="6" t="s">
        <v>43</v>
      </c>
      <c r="C42" s="3">
        <v>1</v>
      </c>
      <c r="D42" s="4">
        <v>0.3</v>
      </c>
      <c r="E42" s="5">
        <v>0.5</v>
      </c>
      <c r="F42" s="3">
        <v>300</v>
      </c>
      <c r="G42" s="3" t="s">
        <v>10</v>
      </c>
      <c r="H42" s="3">
        <f t="shared" si="66"/>
        <v>0.15</v>
      </c>
      <c r="I42" s="3">
        <f t="shared" si="67"/>
        <v>45</v>
      </c>
      <c r="J42" s="18">
        <v>4128</v>
      </c>
      <c r="K42" s="20">
        <f t="shared" si="68"/>
        <v>185.76</v>
      </c>
    </row>
    <row r="43" spans="1:11">
      <c r="A43" s="6">
        <v>46141</v>
      </c>
      <c r="B43" s="6" t="s">
        <v>62</v>
      </c>
      <c r="C43" s="3">
        <v>1</v>
      </c>
      <c r="D43" s="4">
        <v>0.3</v>
      </c>
      <c r="E43" s="5">
        <v>0.5</v>
      </c>
      <c r="F43" s="3">
        <v>300</v>
      </c>
      <c r="G43" s="3" t="s">
        <v>10</v>
      </c>
      <c r="H43" s="3">
        <f t="shared" ref="H43:H45" si="69">+D43*E43</f>
        <v>0.15</v>
      </c>
      <c r="I43" s="3">
        <f t="shared" ref="I43:I45" si="70">+H43*F43</f>
        <v>45</v>
      </c>
      <c r="J43" s="18">
        <v>2940</v>
      </c>
      <c r="K43" s="20">
        <f t="shared" ref="K43:K45" si="71">+J43*I43/1000</f>
        <v>132.30000000000001</v>
      </c>
    </row>
    <row r="44" spans="1:11">
      <c r="A44" s="6">
        <v>46142</v>
      </c>
      <c r="B44" s="6" t="s">
        <v>43</v>
      </c>
      <c r="C44" s="3">
        <v>1</v>
      </c>
      <c r="D44" s="4">
        <v>0.3</v>
      </c>
      <c r="E44" s="5">
        <v>0.5</v>
      </c>
      <c r="F44" s="3">
        <v>300</v>
      </c>
      <c r="G44" s="3" t="s">
        <v>10</v>
      </c>
      <c r="H44" s="3">
        <f t="shared" si="69"/>
        <v>0.15</v>
      </c>
      <c r="I44" s="3">
        <f t="shared" si="70"/>
        <v>45</v>
      </c>
      <c r="J44" s="18">
        <v>1578</v>
      </c>
      <c r="K44" s="20">
        <f t="shared" si="71"/>
        <v>71.010000000000005</v>
      </c>
    </row>
    <row r="45" spans="1:11">
      <c r="A45" s="6">
        <v>46142</v>
      </c>
      <c r="B45" s="6" t="s">
        <v>50</v>
      </c>
      <c r="C45" s="3">
        <v>1</v>
      </c>
      <c r="D45" s="4">
        <v>0.6</v>
      </c>
      <c r="E45" s="5">
        <v>1.2</v>
      </c>
      <c r="F45" s="3">
        <v>280</v>
      </c>
      <c r="G45" s="3" t="s">
        <v>13</v>
      </c>
      <c r="H45" s="3">
        <f t="shared" si="69"/>
        <v>0.72</v>
      </c>
      <c r="I45" s="3">
        <f t="shared" si="70"/>
        <v>201.6</v>
      </c>
      <c r="J45" s="18">
        <v>1200</v>
      </c>
      <c r="K45" s="20">
        <f t="shared" si="71"/>
        <v>241.92</v>
      </c>
    </row>
    <row r="46" spans="1:11">
      <c r="A46" s="6">
        <v>46142</v>
      </c>
      <c r="B46" s="6" t="s">
        <v>51</v>
      </c>
      <c r="C46" s="3">
        <v>1</v>
      </c>
      <c r="D46" s="4">
        <v>0.6</v>
      </c>
      <c r="E46" s="5">
        <v>1.2</v>
      </c>
      <c r="F46" s="3">
        <v>280</v>
      </c>
      <c r="G46" s="3" t="s">
        <v>13</v>
      </c>
      <c r="H46" s="3">
        <f t="shared" ref="H46" si="72">+D46*E46</f>
        <v>0.72</v>
      </c>
      <c r="I46" s="3">
        <f t="shared" ref="I46" si="73">+H46*F46</f>
        <v>201.6</v>
      </c>
      <c r="J46" s="18">
        <v>90</v>
      </c>
      <c r="K46" s="20">
        <f t="shared" ref="K46" si="74">+J46*I46/1000</f>
        <v>18.143999999999998</v>
      </c>
    </row>
    <row r="47" spans="1:11">
      <c r="A47" s="27" t="s">
        <v>99</v>
      </c>
      <c r="B47" s="14"/>
      <c r="C47" s="14"/>
      <c r="D47" s="14"/>
      <c r="E47" s="14"/>
      <c r="F47" s="14"/>
      <c r="G47" s="14"/>
      <c r="H47" s="14"/>
      <c r="I47" s="14"/>
      <c r="J47" s="22">
        <f>SUM(J2:J46)</f>
        <v>60198</v>
      </c>
      <c r="K47" s="25">
        <f>SUM(K2:K46)</f>
        <v>8109.9972000000007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7"/>
  <sheetViews>
    <sheetView zoomScale="90" zoomScaleNormal="90" workbookViewId="0">
      <selection activeCell="A47" sqref="A47"/>
    </sheetView>
  </sheetViews>
  <sheetFormatPr baseColWidth="10" defaultRowHeight="15"/>
  <cols>
    <col min="1" max="1" width="14.28515625" customWidth="1"/>
    <col min="2" max="2" width="24.28515625" customWidth="1"/>
    <col min="7" max="7" width="14.7109375" customWidth="1"/>
    <col min="9" max="9" width="14.28515625" customWidth="1"/>
    <col min="10" max="10" width="14.140625" customWidth="1"/>
    <col min="11" max="11" width="14.28515625" customWidth="1"/>
  </cols>
  <sheetData>
    <row r="1" spans="1:11">
      <c r="A1" s="21" t="s">
        <v>0</v>
      </c>
      <c r="B1" s="1" t="s">
        <v>1</v>
      </c>
      <c r="C1" s="1" t="s">
        <v>2</v>
      </c>
      <c r="D1" s="1" t="s">
        <v>3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6">
        <v>46146</v>
      </c>
      <c r="B2" s="6" t="s">
        <v>51</v>
      </c>
      <c r="C2" s="3">
        <v>1</v>
      </c>
      <c r="D2" s="4">
        <v>0.6</v>
      </c>
      <c r="E2" s="5">
        <v>1.2</v>
      </c>
      <c r="F2" s="3">
        <v>280</v>
      </c>
      <c r="G2" s="3" t="s">
        <v>13</v>
      </c>
      <c r="H2" s="3">
        <f>+D2*E2</f>
        <v>0.72</v>
      </c>
      <c r="I2" s="3">
        <f>+H2*F2</f>
        <v>201.6</v>
      </c>
      <c r="J2" s="18">
        <v>1110</v>
      </c>
      <c r="K2" s="20">
        <f t="shared" ref="K2:K3" si="0">+J2*I2/1000</f>
        <v>223.77600000000001</v>
      </c>
    </row>
    <row r="3" spans="1:11">
      <c r="A3" s="6">
        <v>46146</v>
      </c>
      <c r="B3" s="3" t="s">
        <v>63</v>
      </c>
      <c r="C3" s="7">
        <v>1</v>
      </c>
      <c r="D3" s="4">
        <v>0.6</v>
      </c>
      <c r="E3" s="5">
        <v>1.2</v>
      </c>
      <c r="F3" s="3">
        <v>320</v>
      </c>
      <c r="G3" s="3" t="s">
        <v>10</v>
      </c>
      <c r="H3" s="3">
        <f t="shared" ref="H3" si="1">+D3*E3</f>
        <v>0.72</v>
      </c>
      <c r="I3" s="3">
        <f t="shared" ref="I3" si="2">+H3*F3</f>
        <v>230.39999999999998</v>
      </c>
      <c r="J3" s="18">
        <v>702</v>
      </c>
      <c r="K3" s="20">
        <f t="shared" si="0"/>
        <v>161.74079999999998</v>
      </c>
    </row>
    <row r="4" spans="1:11">
      <c r="A4" s="6">
        <v>46147</v>
      </c>
      <c r="B4" s="6" t="s">
        <v>64</v>
      </c>
      <c r="C4" s="3">
        <v>1</v>
      </c>
      <c r="D4" s="4">
        <v>0.6</v>
      </c>
      <c r="E4" s="5">
        <v>1.2</v>
      </c>
      <c r="F4" s="3">
        <v>280</v>
      </c>
      <c r="G4" s="3" t="s">
        <v>13</v>
      </c>
      <c r="H4" s="3">
        <f t="shared" ref="H4:H5" si="3">+D4*E4</f>
        <v>0.72</v>
      </c>
      <c r="I4" s="3">
        <f t="shared" ref="I4:I5" si="4">+H4*F4</f>
        <v>201.6</v>
      </c>
      <c r="J4" s="18">
        <v>81</v>
      </c>
      <c r="K4" s="20">
        <f t="shared" ref="K4:K5" si="5">+J4*I4/1000</f>
        <v>16.329599999999999</v>
      </c>
    </row>
    <row r="5" spans="1:11">
      <c r="A5" s="6">
        <v>46147</v>
      </c>
      <c r="B5" s="6" t="s">
        <v>57</v>
      </c>
      <c r="C5" s="3">
        <v>1</v>
      </c>
      <c r="D5" s="4">
        <v>0.6</v>
      </c>
      <c r="E5" s="5">
        <v>1.2</v>
      </c>
      <c r="F5" s="3">
        <v>280</v>
      </c>
      <c r="G5" s="3" t="s">
        <v>13</v>
      </c>
      <c r="H5" s="3">
        <f t="shared" si="3"/>
        <v>0.72</v>
      </c>
      <c r="I5" s="3">
        <f t="shared" si="4"/>
        <v>201.6</v>
      </c>
      <c r="J5" s="18">
        <v>1509</v>
      </c>
      <c r="K5" s="20">
        <f t="shared" si="5"/>
        <v>304.21439999999996</v>
      </c>
    </row>
    <row r="6" spans="1:11">
      <c r="A6" s="6">
        <v>46148</v>
      </c>
      <c r="B6" s="6" t="s">
        <v>57</v>
      </c>
      <c r="C6" s="3">
        <v>1</v>
      </c>
      <c r="D6" s="4">
        <v>0.6</v>
      </c>
      <c r="E6" s="5">
        <v>1.2</v>
      </c>
      <c r="F6" s="3">
        <v>280</v>
      </c>
      <c r="G6" s="3" t="s">
        <v>13</v>
      </c>
      <c r="H6" s="3">
        <f t="shared" ref="H6:H7" si="6">+D6*E6</f>
        <v>0.72</v>
      </c>
      <c r="I6" s="3">
        <f t="shared" ref="I6:I7" si="7">+H6*F6</f>
        <v>201.6</v>
      </c>
      <c r="J6" s="18">
        <v>993</v>
      </c>
      <c r="K6" s="20">
        <f t="shared" ref="K6:K7" si="8">+J6*I6/1000</f>
        <v>200.18879999999999</v>
      </c>
    </row>
    <row r="7" spans="1:11">
      <c r="A7" s="6">
        <v>46148</v>
      </c>
      <c r="B7" s="6" t="s">
        <v>64</v>
      </c>
      <c r="C7" s="3">
        <v>1</v>
      </c>
      <c r="D7" s="4">
        <v>0.6</v>
      </c>
      <c r="E7" s="5">
        <v>1.2</v>
      </c>
      <c r="F7" s="3">
        <v>280</v>
      </c>
      <c r="G7" s="3" t="s">
        <v>13</v>
      </c>
      <c r="H7" s="3">
        <f t="shared" si="6"/>
        <v>0.72</v>
      </c>
      <c r="I7" s="3">
        <f t="shared" si="7"/>
        <v>201.6</v>
      </c>
      <c r="J7" s="18">
        <v>1374</v>
      </c>
      <c r="K7" s="20">
        <f t="shared" si="8"/>
        <v>276.99839999999995</v>
      </c>
    </row>
    <row r="8" spans="1:11">
      <c r="A8" s="6">
        <v>46149</v>
      </c>
      <c r="B8" s="6" t="s">
        <v>15</v>
      </c>
      <c r="C8" s="3">
        <v>1</v>
      </c>
      <c r="D8" s="4">
        <v>0.6</v>
      </c>
      <c r="E8" s="5">
        <v>1.2</v>
      </c>
      <c r="F8" s="3">
        <v>280</v>
      </c>
      <c r="G8" s="3" t="s">
        <v>13</v>
      </c>
      <c r="H8" s="3">
        <f t="shared" ref="H8" si="9">+D8*E8</f>
        <v>0.72</v>
      </c>
      <c r="I8" s="3">
        <f t="shared" ref="I8" si="10">+H8*F8</f>
        <v>201.6</v>
      </c>
      <c r="J8" s="18">
        <v>2004</v>
      </c>
      <c r="K8" s="20">
        <f t="shared" ref="K8" si="11">+J8*I8/1000</f>
        <v>404.00639999999999</v>
      </c>
    </row>
    <row r="9" spans="1:11">
      <c r="A9" s="6">
        <v>46150</v>
      </c>
      <c r="B9" s="6" t="s">
        <v>15</v>
      </c>
      <c r="C9" s="3">
        <v>1</v>
      </c>
      <c r="D9" s="4">
        <v>0.6</v>
      </c>
      <c r="E9" s="5">
        <v>1.2</v>
      </c>
      <c r="F9" s="3">
        <v>280</v>
      </c>
      <c r="G9" s="3" t="s">
        <v>13</v>
      </c>
      <c r="H9" s="3">
        <f t="shared" ref="H9" si="12">+D9*E9</f>
        <v>0.72</v>
      </c>
      <c r="I9" s="3">
        <f t="shared" ref="I9" si="13">+H9*F9</f>
        <v>201.6</v>
      </c>
      <c r="J9" s="18">
        <v>498</v>
      </c>
      <c r="K9" s="20">
        <f t="shared" ref="K9" si="14">+J9*I9/1000</f>
        <v>100.3968</v>
      </c>
    </row>
    <row r="10" spans="1:11">
      <c r="A10" s="6">
        <v>46150</v>
      </c>
      <c r="B10" s="6" t="s">
        <v>65</v>
      </c>
      <c r="C10" s="3">
        <v>1</v>
      </c>
      <c r="D10" s="4">
        <v>0.6</v>
      </c>
      <c r="E10" s="5">
        <v>1.2</v>
      </c>
      <c r="F10" s="3">
        <v>280</v>
      </c>
      <c r="G10" s="3" t="s">
        <v>13</v>
      </c>
      <c r="H10" s="3">
        <f t="shared" ref="H10" si="15">+D10*E10</f>
        <v>0.72</v>
      </c>
      <c r="I10" s="3">
        <f t="shared" ref="I10" si="16">+H10*F10</f>
        <v>201.6</v>
      </c>
      <c r="J10" s="18">
        <v>1722</v>
      </c>
      <c r="K10" s="20">
        <f t="shared" ref="K10" si="17">+J10*I10/1000</f>
        <v>347.15520000000004</v>
      </c>
    </row>
    <row r="11" spans="1:11">
      <c r="A11" s="6">
        <v>46153</v>
      </c>
      <c r="B11" s="6" t="s">
        <v>65</v>
      </c>
      <c r="C11" s="3">
        <v>1</v>
      </c>
      <c r="D11" s="4">
        <v>0.6</v>
      </c>
      <c r="E11" s="5">
        <v>1.2</v>
      </c>
      <c r="F11" s="3">
        <v>280</v>
      </c>
      <c r="G11" s="3" t="s">
        <v>13</v>
      </c>
      <c r="H11" s="3">
        <f t="shared" ref="H11:H13" si="18">+D11*E11</f>
        <v>0.72</v>
      </c>
      <c r="I11" s="3">
        <f t="shared" ref="I11:I13" si="19">+H11*F11</f>
        <v>201.6</v>
      </c>
      <c r="J11" s="18">
        <v>678</v>
      </c>
      <c r="K11" s="20">
        <f t="shared" ref="K11:K13" si="20">+J11*I11/1000</f>
        <v>136.6848</v>
      </c>
    </row>
    <row r="12" spans="1:11">
      <c r="A12" s="6">
        <v>46154</v>
      </c>
      <c r="B12" s="6" t="s">
        <v>29</v>
      </c>
      <c r="C12" s="3">
        <v>1</v>
      </c>
      <c r="D12" s="4">
        <v>0.6</v>
      </c>
      <c r="E12" s="5">
        <v>1.2</v>
      </c>
      <c r="F12" s="3">
        <v>280</v>
      </c>
      <c r="G12" s="3" t="s">
        <v>13</v>
      </c>
      <c r="H12" s="3">
        <f t="shared" si="18"/>
        <v>0.72</v>
      </c>
      <c r="I12" s="3">
        <f t="shared" si="19"/>
        <v>201.6</v>
      </c>
      <c r="J12" s="18">
        <v>1200</v>
      </c>
      <c r="K12" s="20">
        <f t="shared" si="20"/>
        <v>241.92</v>
      </c>
    </row>
    <row r="13" spans="1:11">
      <c r="A13" s="6">
        <v>46154</v>
      </c>
      <c r="B13" s="3" t="s">
        <v>66</v>
      </c>
      <c r="C13" s="7">
        <v>1</v>
      </c>
      <c r="D13" s="4">
        <v>0.6</v>
      </c>
      <c r="E13" s="5">
        <v>1.2</v>
      </c>
      <c r="F13" s="3">
        <v>320</v>
      </c>
      <c r="G13" s="3" t="s">
        <v>10</v>
      </c>
      <c r="H13" s="3">
        <f t="shared" si="18"/>
        <v>0.72</v>
      </c>
      <c r="I13" s="3">
        <f t="shared" si="19"/>
        <v>230.39999999999998</v>
      </c>
      <c r="J13" s="18">
        <v>768</v>
      </c>
      <c r="K13" s="20">
        <f t="shared" si="20"/>
        <v>176.94719999999998</v>
      </c>
    </row>
    <row r="14" spans="1:11">
      <c r="A14" s="6">
        <v>46155</v>
      </c>
      <c r="B14" s="6" t="s">
        <v>28</v>
      </c>
      <c r="C14" s="3">
        <v>1</v>
      </c>
      <c r="D14" s="4">
        <v>0.6</v>
      </c>
      <c r="E14" s="5">
        <v>1.2</v>
      </c>
      <c r="F14" s="3">
        <v>280</v>
      </c>
      <c r="G14" s="3" t="s">
        <v>13</v>
      </c>
      <c r="H14" s="3">
        <f t="shared" ref="H14" si="21">+D14*E14</f>
        <v>0.72</v>
      </c>
      <c r="I14" s="3">
        <f t="shared" ref="I14" si="22">+H14*F14</f>
        <v>201.6</v>
      </c>
      <c r="J14" s="18">
        <v>1200</v>
      </c>
      <c r="K14" s="20">
        <f t="shared" ref="K14" si="23">+J14*I14/1000</f>
        <v>241.92</v>
      </c>
    </row>
    <row r="15" spans="1:11">
      <c r="A15" s="6">
        <v>46156</v>
      </c>
      <c r="B15" s="6" t="s">
        <v>61</v>
      </c>
      <c r="C15" s="3">
        <v>1</v>
      </c>
      <c r="D15" s="4">
        <v>0.6</v>
      </c>
      <c r="E15" s="5">
        <v>1.2</v>
      </c>
      <c r="F15" s="3">
        <v>280</v>
      </c>
      <c r="G15" s="3" t="s">
        <v>13</v>
      </c>
      <c r="H15" s="3">
        <f t="shared" ref="H15" si="24">+D15*E15</f>
        <v>0.72</v>
      </c>
      <c r="I15" s="3">
        <f t="shared" ref="I15" si="25">+H15*F15</f>
        <v>201.6</v>
      </c>
      <c r="J15" s="18">
        <v>2400</v>
      </c>
      <c r="K15" s="20">
        <f t="shared" ref="K15" si="26">+J15*I15/1000</f>
        <v>483.84</v>
      </c>
    </row>
    <row r="16" spans="1:11">
      <c r="A16" s="6">
        <v>46157</v>
      </c>
      <c r="B16" s="6" t="s">
        <v>67</v>
      </c>
      <c r="C16" s="3">
        <v>1</v>
      </c>
      <c r="D16" s="4">
        <v>0.6</v>
      </c>
      <c r="E16" s="5">
        <v>1.2</v>
      </c>
      <c r="F16" s="3">
        <v>280</v>
      </c>
      <c r="G16" s="3" t="s">
        <v>13</v>
      </c>
      <c r="H16" s="3">
        <f t="shared" ref="H16" si="27">+D16*E16</f>
        <v>0.72</v>
      </c>
      <c r="I16" s="3">
        <f t="shared" ref="I16" si="28">+H16*F16</f>
        <v>201.6</v>
      </c>
      <c r="J16" s="18">
        <v>2500</v>
      </c>
      <c r="K16" s="20">
        <f t="shared" ref="K16" si="29">+J16*I16/1000</f>
        <v>504</v>
      </c>
    </row>
    <row r="17" spans="1:11">
      <c r="A17" s="6">
        <v>46158</v>
      </c>
      <c r="B17" s="6" t="s">
        <v>51</v>
      </c>
      <c r="C17" s="3">
        <v>1</v>
      </c>
      <c r="D17" s="4">
        <v>0.6</v>
      </c>
      <c r="E17" s="5">
        <v>1.2</v>
      </c>
      <c r="F17" s="3">
        <v>280</v>
      </c>
      <c r="G17" s="3" t="s">
        <v>13</v>
      </c>
      <c r="H17" s="3">
        <f t="shared" ref="H17" si="30">+D17*E17</f>
        <v>0.72</v>
      </c>
      <c r="I17" s="3">
        <f t="shared" ref="I17" si="31">+H17*F17</f>
        <v>201.6</v>
      </c>
      <c r="J17" s="18">
        <v>1200</v>
      </c>
      <c r="K17" s="20">
        <f t="shared" ref="K17" si="32">+J17*I17/1000</f>
        <v>241.92</v>
      </c>
    </row>
    <row r="18" spans="1:11">
      <c r="A18" s="6">
        <v>46158</v>
      </c>
      <c r="B18" s="6" t="s">
        <v>68</v>
      </c>
      <c r="C18" s="3">
        <v>1</v>
      </c>
      <c r="D18" s="4">
        <v>0.6</v>
      </c>
      <c r="E18" s="5">
        <v>1.2</v>
      </c>
      <c r="F18" s="3">
        <v>280</v>
      </c>
      <c r="G18" s="3" t="s">
        <v>13</v>
      </c>
      <c r="H18" s="3">
        <f t="shared" ref="H18:H19" si="33">+D18*E18</f>
        <v>0.72</v>
      </c>
      <c r="I18" s="3">
        <f t="shared" ref="I18:I19" si="34">+H18*F18</f>
        <v>201.6</v>
      </c>
      <c r="J18" s="18">
        <v>954</v>
      </c>
      <c r="K18" s="20">
        <f t="shared" ref="K18:K19" si="35">+J18*I18/1000</f>
        <v>192.32640000000001</v>
      </c>
    </row>
    <row r="19" spans="1:11">
      <c r="A19" s="6">
        <v>46161</v>
      </c>
      <c r="B19" s="3" t="s">
        <v>34</v>
      </c>
      <c r="C19" s="3">
        <v>1</v>
      </c>
      <c r="D19" s="4">
        <v>0.35</v>
      </c>
      <c r="E19" s="5">
        <v>0.6</v>
      </c>
      <c r="F19" s="3">
        <v>330</v>
      </c>
      <c r="G19" s="3" t="s">
        <v>10</v>
      </c>
      <c r="H19" s="3">
        <f t="shared" si="33"/>
        <v>0.21</v>
      </c>
      <c r="I19" s="3">
        <f t="shared" si="34"/>
        <v>69.3</v>
      </c>
      <c r="J19" s="18">
        <v>5075</v>
      </c>
      <c r="K19" s="20">
        <f t="shared" si="35"/>
        <v>351.69749999999999</v>
      </c>
    </row>
    <row r="20" spans="1:11">
      <c r="A20" s="6">
        <v>46161</v>
      </c>
      <c r="B20" s="6" t="s">
        <v>32</v>
      </c>
      <c r="C20" s="3">
        <v>1</v>
      </c>
      <c r="D20" s="4">
        <v>0.6</v>
      </c>
      <c r="E20" s="5">
        <v>1.2</v>
      </c>
      <c r="F20" s="3">
        <v>280</v>
      </c>
      <c r="G20" s="3" t="s">
        <v>13</v>
      </c>
      <c r="H20" s="3">
        <f>+D20*E20</f>
        <v>0.72</v>
      </c>
      <c r="I20" s="3">
        <f>+H20*F20</f>
        <v>201.6</v>
      </c>
      <c r="J20" s="18">
        <v>429</v>
      </c>
      <c r="K20" s="20">
        <f>+J20*I20/1000</f>
        <v>86.486399999999989</v>
      </c>
    </row>
    <row r="21" spans="1:11">
      <c r="A21" s="6">
        <v>46162</v>
      </c>
      <c r="B21" s="6" t="s">
        <v>32</v>
      </c>
      <c r="C21" s="3">
        <v>1</v>
      </c>
      <c r="D21" s="4">
        <v>0.6</v>
      </c>
      <c r="E21" s="5">
        <v>1.2</v>
      </c>
      <c r="F21" s="3">
        <v>280</v>
      </c>
      <c r="G21" s="3" t="s">
        <v>13</v>
      </c>
      <c r="H21" s="3">
        <f>+D21*E21</f>
        <v>0.72</v>
      </c>
      <c r="I21" s="3">
        <f>+H21*F21</f>
        <v>201.6</v>
      </c>
      <c r="J21" s="18">
        <v>1971</v>
      </c>
      <c r="K21" s="20">
        <f>+J21*I21/1000</f>
        <v>397.35359999999997</v>
      </c>
    </row>
    <row r="22" spans="1:11">
      <c r="A22" s="6">
        <v>46162</v>
      </c>
      <c r="B22" s="6" t="s">
        <v>50</v>
      </c>
      <c r="C22" s="3">
        <v>1</v>
      </c>
      <c r="D22" s="4">
        <v>0.6</v>
      </c>
      <c r="E22" s="5">
        <v>1.2</v>
      </c>
      <c r="F22" s="3">
        <v>280</v>
      </c>
      <c r="G22" s="3" t="s">
        <v>13</v>
      </c>
      <c r="H22" s="3">
        <f t="shared" ref="H22" si="36">+D22*E22</f>
        <v>0.72</v>
      </c>
      <c r="I22" s="3">
        <f t="shared" ref="I22" si="37">+H22*F22</f>
        <v>201.6</v>
      </c>
      <c r="J22" s="18">
        <v>201</v>
      </c>
      <c r="K22" s="20">
        <f t="shared" ref="K22" si="38">+J22*I22/1000</f>
        <v>40.521599999999999</v>
      </c>
    </row>
    <row r="23" spans="1:11">
      <c r="A23" s="6">
        <v>46163</v>
      </c>
      <c r="B23" s="6" t="s">
        <v>50</v>
      </c>
      <c r="C23" s="3">
        <v>1</v>
      </c>
      <c r="D23" s="4">
        <v>0.6</v>
      </c>
      <c r="E23" s="5">
        <v>1.2</v>
      </c>
      <c r="F23" s="3">
        <v>280</v>
      </c>
      <c r="G23" s="3" t="s">
        <v>13</v>
      </c>
      <c r="H23" s="3">
        <f t="shared" ref="H23" si="39">+D23*E23</f>
        <v>0.72</v>
      </c>
      <c r="I23" s="3">
        <f t="shared" ref="I23" si="40">+H23*F23</f>
        <v>201.6</v>
      </c>
      <c r="J23" s="18">
        <v>822</v>
      </c>
      <c r="K23" s="20">
        <f t="shared" ref="K23" si="41">+J23*I23/1000</f>
        <v>165.71519999999998</v>
      </c>
    </row>
    <row r="24" spans="1:11">
      <c r="A24" s="6">
        <v>46164</v>
      </c>
      <c r="B24" s="6" t="s">
        <v>50</v>
      </c>
      <c r="C24" s="3">
        <v>1</v>
      </c>
      <c r="D24" s="4">
        <v>0.6</v>
      </c>
      <c r="E24" s="5">
        <v>1.2</v>
      </c>
      <c r="F24" s="3">
        <v>280</v>
      </c>
      <c r="G24" s="3" t="s">
        <v>13</v>
      </c>
      <c r="H24" s="3">
        <f t="shared" ref="H24" si="42">+D24*E24</f>
        <v>0.72</v>
      </c>
      <c r="I24" s="3">
        <f t="shared" ref="I24" si="43">+H24*F24</f>
        <v>201.6</v>
      </c>
      <c r="J24" s="18">
        <v>1377</v>
      </c>
      <c r="K24" s="20">
        <f t="shared" ref="K24" si="44">+J24*I24/1000</f>
        <v>277.60320000000002</v>
      </c>
    </row>
    <row r="25" spans="1:11">
      <c r="A25" s="6">
        <v>46164</v>
      </c>
      <c r="B25" s="6" t="s">
        <v>28</v>
      </c>
      <c r="C25" s="3">
        <v>1</v>
      </c>
      <c r="D25" s="4">
        <v>0.6</v>
      </c>
      <c r="E25" s="5">
        <v>1.2</v>
      </c>
      <c r="F25" s="3">
        <v>280</v>
      </c>
      <c r="G25" s="3" t="s">
        <v>13</v>
      </c>
      <c r="H25" s="3">
        <f t="shared" ref="H25" si="45">+D25*E25</f>
        <v>0.72</v>
      </c>
      <c r="I25" s="3">
        <f t="shared" ref="I25" si="46">+H25*F25</f>
        <v>201.6</v>
      </c>
      <c r="J25" s="18">
        <v>801</v>
      </c>
      <c r="K25" s="20">
        <f t="shared" ref="K25" si="47">+J25*I25/1000</f>
        <v>161.48160000000001</v>
      </c>
    </row>
    <row r="26" spans="1:11">
      <c r="A26" s="6">
        <v>46165</v>
      </c>
      <c r="B26" s="6" t="s">
        <v>57</v>
      </c>
      <c r="C26" s="3">
        <v>1</v>
      </c>
      <c r="D26" s="4">
        <v>0.6</v>
      </c>
      <c r="E26" s="5">
        <v>1.2</v>
      </c>
      <c r="F26" s="3">
        <v>280</v>
      </c>
      <c r="G26" s="3" t="s">
        <v>13</v>
      </c>
      <c r="H26" s="3">
        <f t="shared" ref="H26" si="48">+D26*E26</f>
        <v>0.72</v>
      </c>
      <c r="I26" s="3">
        <f t="shared" ref="I26" si="49">+H26*F26</f>
        <v>201.6</v>
      </c>
      <c r="J26" s="18">
        <v>2500</v>
      </c>
      <c r="K26" s="20">
        <f t="shared" ref="K26" si="50">+J26*I26/1000</f>
        <v>504</v>
      </c>
    </row>
    <row r="27" spans="1:11">
      <c r="A27" s="6">
        <v>46168</v>
      </c>
      <c r="B27" s="6" t="s">
        <v>15</v>
      </c>
      <c r="C27" s="3">
        <v>1</v>
      </c>
      <c r="D27" s="4">
        <v>0.6</v>
      </c>
      <c r="E27" s="5">
        <v>1.2</v>
      </c>
      <c r="F27" s="3">
        <v>280</v>
      </c>
      <c r="G27" s="3" t="s">
        <v>13</v>
      </c>
      <c r="H27" s="3">
        <f t="shared" ref="H27" si="51">+D27*E27</f>
        <v>0.72</v>
      </c>
      <c r="I27" s="3">
        <f t="shared" ref="I27" si="52">+H27*F27</f>
        <v>201.6</v>
      </c>
      <c r="J27" s="18">
        <v>2000</v>
      </c>
      <c r="K27" s="20">
        <f t="shared" ref="K27" si="53">+J27*I27/1000</f>
        <v>403.2</v>
      </c>
    </row>
    <row r="28" spans="1:11">
      <c r="A28" s="6">
        <v>46168</v>
      </c>
      <c r="B28" s="6" t="s">
        <v>70</v>
      </c>
      <c r="C28" s="3">
        <v>1</v>
      </c>
      <c r="D28" s="4">
        <v>0.6</v>
      </c>
      <c r="E28" s="5">
        <v>1.2</v>
      </c>
      <c r="F28" s="3">
        <v>280</v>
      </c>
      <c r="G28" s="3" t="s">
        <v>13</v>
      </c>
      <c r="H28" s="3">
        <f t="shared" ref="H28" si="54">+D28*E28</f>
        <v>0.72</v>
      </c>
      <c r="I28" s="3">
        <f t="shared" ref="I28" si="55">+H28*F28</f>
        <v>201.6</v>
      </c>
      <c r="J28" s="18">
        <v>150</v>
      </c>
      <c r="K28" s="20">
        <f t="shared" ref="K28" si="56">+J28*I28/1000</f>
        <v>30.24</v>
      </c>
    </row>
    <row r="29" spans="1:11">
      <c r="A29" s="6">
        <v>46169</v>
      </c>
      <c r="B29" s="6" t="s">
        <v>69</v>
      </c>
      <c r="C29" s="3">
        <v>1</v>
      </c>
      <c r="D29" s="4">
        <v>0.6</v>
      </c>
      <c r="E29" s="5">
        <v>1.2</v>
      </c>
      <c r="F29" s="3">
        <v>280</v>
      </c>
      <c r="G29" s="3" t="s">
        <v>13</v>
      </c>
      <c r="H29" s="3">
        <f t="shared" ref="H29" si="57">+D29*E29</f>
        <v>0.72</v>
      </c>
      <c r="I29" s="3">
        <f t="shared" ref="I29" si="58">+H29*F29</f>
        <v>201.6</v>
      </c>
      <c r="J29" s="18">
        <v>150</v>
      </c>
      <c r="K29" s="20">
        <f t="shared" ref="K29" si="59">+J29*I29/1000</f>
        <v>30.24</v>
      </c>
    </row>
    <row r="30" spans="1:11">
      <c r="A30" s="6">
        <v>46169</v>
      </c>
      <c r="B30" s="6" t="s">
        <v>71</v>
      </c>
      <c r="C30" s="3">
        <v>1</v>
      </c>
      <c r="D30" s="4">
        <v>0.6</v>
      </c>
      <c r="E30" s="5">
        <v>1.2</v>
      </c>
      <c r="F30" s="3">
        <v>280</v>
      </c>
      <c r="G30" s="3" t="s">
        <v>13</v>
      </c>
      <c r="H30" s="3">
        <f t="shared" ref="H30" si="60">+D30*E30</f>
        <v>0.72</v>
      </c>
      <c r="I30" s="3">
        <f t="shared" ref="I30" si="61">+H30*F30</f>
        <v>201.6</v>
      </c>
      <c r="J30" s="18">
        <v>150</v>
      </c>
      <c r="K30" s="20">
        <f t="shared" ref="K30" si="62">+J30*I30/1000</f>
        <v>30.24</v>
      </c>
    </row>
    <row r="31" spans="1:11">
      <c r="A31" s="6">
        <v>46169</v>
      </c>
      <c r="B31" s="6" t="s">
        <v>72</v>
      </c>
      <c r="C31" s="3">
        <v>1</v>
      </c>
      <c r="D31" s="4">
        <v>0.6</v>
      </c>
      <c r="E31" s="5">
        <v>1.2</v>
      </c>
      <c r="F31" s="3">
        <v>280</v>
      </c>
      <c r="G31" s="3" t="s">
        <v>13</v>
      </c>
      <c r="H31" s="3">
        <f t="shared" ref="H31" si="63">+D31*E31</f>
        <v>0.72</v>
      </c>
      <c r="I31" s="3">
        <f t="shared" ref="I31" si="64">+H31*F31</f>
        <v>201.6</v>
      </c>
      <c r="J31" s="18">
        <v>2000</v>
      </c>
      <c r="K31" s="20">
        <f t="shared" ref="K31" si="65">+J31*I31/1000</f>
        <v>403.2</v>
      </c>
    </row>
    <row r="32" spans="1:11">
      <c r="A32" s="6">
        <v>46170</v>
      </c>
      <c r="B32" s="6" t="s">
        <v>65</v>
      </c>
      <c r="C32" s="3">
        <v>1</v>
      </c>
      <c r="D32" s="4">
        <v>0.6</v>
      </c>
      <c r="E32" s="5">
        <v>1.2</v>
      </c>
      <c r="F32" s="3">
        <v>280</v>
      </c>
      <c r="G32" s="3" t="s">
        <v>13</v>
      </c>
      <c r="H32" s="3">
        <f t="shared" ref="H32:H33" si="66">+D32*E32</f>
        <v>0.72</v>
      </c>
      <c r="I32" s="3">
        <f t="shared" ref="I32:I33" si="67">+H32*F32</f>
        <v>201.6</v>
      </c>
      <c r="J32" s="18">
        <v>2000</v>
      </c>
      <c r="K32" s="20">
        <f t="shared" ref="K32:K33" si="68">+J32*I32/1000</f>
        <v>403.2</v>
      </c>
    </row>
    <row r="33" spans="1:11">
      <c r="A33" s="6">
        <v>46170</v>
      </c>
      <c r="B33" s="6" t="s">
        <v>73</v>
      </c>
      <c r="C33" s="3">
        <v>1</v>
      </c>
      <c r="D33" s="4">
        <v>0.6</v>
      </c>
      <c r="E33" s="5">
        <v>1.2</v>
      </c>
      <c r="F33" s="3">
        <v>280</v>
      </c>
      <c r="G33" s="3" t="s">
        <v>13</v>
      </c>
      <c r="H33" s="3">
        <f t="shared" si="66"/>
        <v>0.72</v>
      </c>
      <c r="I33" s="3">
        <f t="shared" si="67"/>
        <v>201.6</v>
      </c>
      <c r="J33" s="18">
        <v>150</v>
      </c>
      <c r="K33" s="20">
        <f t="shared" si="68"/>
        <v>30.24</v>
      </c>
    </row>
    <row r="34" spans="1:11">
      <c r="A34" s="6">
        <v>46171</v>
      </c>
      <c r="B34" s="6" t="s">
        <v>61</v>
      </c>
      <c r="C34" s="3">
        <v>1</v>
      </c>
      <c r="D34" s="4">
        <v>0.6</v>
      </c>
      <c r="E34" s="5">
        <v>1.2</v>
      </c>
      <c r="F34" s="3">
        <v>280</v>
      </c>
      <c r="G34" s="3" t="s">
        <v>13</v>
      </c>
      <c r="H34" s="3">
        <f t="shared" ref="H34:H35" si="69">+D34*E34</f>
        <v>0.72</v>
      </c>
      <c r="I34" s="3">
        <f t="shared" ref="I34:I35" si="70">+H34*F34</f>
        <v>201.6</v>
      </c>
      <c r="J34" s="18">
        <v>2000</v>
      </c>
      <c r="K34" s="20">
        <f t="shared" ref="K34:K35" si="71">+J34*I34/1000</f>
        <v>403.2</v>
      </c>
    </row>
    <row r="35" spans="1:11">
      <c r="A35" s="6">
        <v>46171</v>
      </c>
      <c r="B35" s="6" t="s">
        <v>74</v>
      </c>
      <c r="C35" s="3">
        <v>1</v>
      </c>
      <c r="D35" s="4">
        <v>0.6</v>
      </c>
      <c r="E35" s="5">
        <v>1.2</v>
      </c>
      <c r="F35" s="3">
        <v>280</v>
      </c>
      <c r="G35" s="3" t="s">
        <v>13</v>
      </c>
      <c r="H35" s="3">
        <f t="shared" si="69"/>
        <v>0.72</v>
      </c>
      <c r="I35" s="3">
        <f t="shared" si="70"/>
        <v>201.6</v>
      </c>
      <c r="J35" s="18">
        <v>150</v>
      </c>
      <c r="K35" s="20">
        <f t="shared" si="71"/>
        <v>30.24</v>
      </c>
    </row>
    <row r="36" spans="1:11">
      <c r="A36" s="6">
        <v>46172</v>
      </c>
      <c r="B36" s="6" t="s">
        <v>75</v>
      </c>
      <c r="C36" s="3">
        <v>1</v>
      </c>
      <c r="D36" s="4">
        <v>0.6</v>
      </c>
      <c r="E36" s="5">
        <v>1.2</v>
      </c>
      <c r="F36" s="3">
        <v>280</v>
      </c>
      <c r="G36" s="3" t="s">
        <v>13</v>
      </c>
      <c r="H36" s="3">
        <f t="shared" ref="H36" si="72">+D36*E36</f>
        <v>0.72</v>
      </c>
      <c r="I36" s="3">
        <f t="shared" ref="I36" si="73">+H36*F36</f>
        <v>201.6</v>
      </c>
      <c r="J36" s="18">
        <v>2000</v>
      </c>
      <c r="K36" s="20">
        <f t="shared" ref="K36" si="74">+J36*I36/1000</f>
        <v>403.2</v>
      </c>
    </row>
    <row r="37" spans="1:11">
      <c r="A37" s="6">
        <v>46172</v>
      </c>
      <c r="B37" s="6" t="s">
        <v>76</v>
      </c>
      <c r="C37" s="3">
        <v>1</v>
      </c>
      <c r="D37" s="4">
        <v>0.6</v>
      </c>
      <c r="E37" s="5">
        <v>1.2</v>
      </c>
      <c r="F37" s="3">
        <v>280</v>
      </c>
      <c r="G37" s="3" t="s">
        <v>13</v>
      </c>
      <c r="H37" s="3">
        <f t="shared" ref="H37" si="75">+D37*E37</f>
        <v>0.72</v>
      </c>
      <c r="I37" s="3">
        <f t="shared" ref="I37" si="76">+H37*F37</f>
        <v>201.6</v>
      </c>
      <c r="J37" s="18">
        <v>150</v>
      </c>
      <c r="K37" s="20">
        <f t="shared" ref="K37" si="77">+J37*I37/1000</f>
        <v>30.24</v>
      </c>
    </row>
    <row r="38" spans="1:11">
      <c r="A38" s="6"/>
      <c r="B38" s="6"/>
      <c r="C38" s="3"/>
      <c r="D38" s="4"/>
      <c r="E38" s="5"/>
      <c r="F38" s="3"/>
      <c r="G38" s="3"/>
      <c r="H38" s="3"/>
      <c r="I38" s="3"/>
      <c r="J38" s="18"/>
      <c r="K38" s="20"/>
    </row>
    <row r="39" spans="1:11">
      <c r="A39" s="6"/>
      <c r="B39" s="6"/>
      <c r="C39" s="3"/>
      <c r="D39" s="4"/>
      <c r="E39" s="5"/>
      <c r="F39" s="3"/>
      <c r="G39" s="3"/>
      <c r="H39" s="3"/>
      <c r="I39" s="3"/>
      <c r="J39" s="18"/>
      <c r="K39" s="20"/>
    </row>
    <row r="40" spans="1:11">
      <c r="A40" s="6"/>
      <c r="B40" s="6"/>
      <c r="C40" s="3"/>
      <c r="D40" s="4"/>
      <c r="E40" s="5"/>
      <c r="F40" s="3"/>
      <c r="G40" s="3"/>
      <c r="H40" s="3"/>
      <c r="I40" s="3"/>
      <c r="J40" s="18"/>
      <c r="K40" s="20"/>
    </row>
    <row r="41" spans="1:11">
      <c r="A41" s="6"/>
      <c r="B41" s="6"/>
      <c r="C41" s="3"/>
      <c r="D41" s="4"/>
      <c r="E41" s="5"/>
      <c r="F41" s="3"/>
      <c r="G41" s="3"/>
      <c r="H41" s="3"/>
      <c r="I41" s="3"/>
      <c r="J41" s="18"/>
      <c r="K41" s="20"/>
    </row>
    <row r="42" spans="1:11">
      <c r="A42" s="6"/>
      <c r="B42" s="6"/>
      <c r="C42" s="3"/>
      <c r="D42" s="4"/>
      <c r="E42" s="5"/>
      <c r="F42" s="3"/>
      <c r="G42" s="3"/>
      <c r="H42" s="3"/>
      <c r="I42" s="3"/>
      <c r="J42" s="18"/>
      <c r="K42" s="20"/>
    </row>
    <row r="43" spans="1:11">
      <c r="A43" s="6"/>
      <c r="B43" s="6"/>
      <c r="C43" s="3"/>
      <c r="D43" s="4"/>
      <c r="E43" s="5"/>
      <c r="F43" s="3"/>
      <c r="G43" s="3"/>
      <c r="H43" s="3"/>
      <c r="I43" s="3"/>
      <c r="J43" s="18"/>
      <c r="K43" s="20"/>
    </row>
    <row r="44" spans="1:11">
      <c r="A44" s="6"/>
      <c r="B44" s="6"/>
      <c r="C44" s="3"/>
      <c r="D44" s="4"/>
      <c r="E44" s="5"/>
      <c r="F44" s="3"/>
      <c r="G44" s="3"/>
      <c r="H44" s="3"/>
      <c r="I44" s="3"/>
      <c r="J44" s="18"/>
      <c r="K44" s="20"/>
    </row>
    <row r="45" spans="1:11">
      <c r="A45" s="6"/>
      <c r="B45" s="6"/>
      <c r="C45" s="3"/>
      <c r="D45" s="4"/>
      <c r="E45" s="5"/>
      <c r="F45" s="3"/>
      <c r="G45" s="3"/>
      <c r="H45" s="3"/>
      <c r="I45" s="3"/>
      <c r="J45" s="18"/>
      <c r="K45" s="20"/>
    </row>
    <row r="46" spans="1:11">
      <c r="A46" s="6"/>
      <c r="B46" s="6"/>
      <c r="C46" s="3"/>
      <c r="D46" s="4"/>
      <c r="E46" s="5"/>
      <c r="F46" s="3"/>
      <c r="G46" s="3"/>
      <c r="H46" s="3"/>
      <c r="I46" s="3"/>
      <c r="J46" s="18"/>
      <c r="K46" s="20"/>
    </row>
    <row r="47" spans="1:11">
      <c r="A47" s="27" t="s">
        <v>99</v>
      </c>
      <c r="B47" s="14"/>
      <c r="C47" s="14"/>
      <c r="D47" s="14"/>
      <c r="E47" s="14"/>
      <c r="F47" s="14"/>
      <c r="G47" s="14"/>
      <c r="H47" s="14"/>
      <c r="I47" s="14"/>
      <c r="J47" s="22">
        <f>SUM(J2:J46)</f>
        <v>44969</v>
      </c>
      <c r="K47" s="25">
        <f>SUM(K2:K46)</f>
        <v>8436.6638999999977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7"/>
  <sheetViews>
    <sheetView zoomScale="90" zoomScaleNormal="90" workbookViewId="0">
      <selection activeCell="E42" sqref="E42"/>
    </sheetView>
  </sheetViews>
  <sheetFormatPr baseColWidth="10" defaultRowHeight="15"/>
  <cols>
    <col min="1" max="1" width="14.28515625" customWidth="1"/>
    <col min="2" max="2" width="24.28515625" customWidth="1"/>
    <col min="7" max="7" width="14.7109375" customWidth="1"/>
    <col min="9" max="9" width="14.28515625" customWidth="1"/>
    <col min="10" max="10" width="14.140625" customWidth="1"/>
    <col min="11" max="11" width="14.28515625" customWidth="1"/>
  </cols>
  <sheetData>
    <row r="1" spans="1:11">
      <c r="A1" s="21" t="s">
        <v>0</v>
      </c>
      <c r="B1" s="1" t="s">
        <v>1</v>
      </c>
      <c r="C1" s="1" t="s">
        <v>2</v>
      </c>
      <c r="D1" s="1" t="s">
        <v>3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6">
        <v>46174</v>
      </c>
      <c r="B2" s="6" t="s">
        <v>59</v>
      </c>
      <c r="C2" s="3">
        <v>1</v>
      </c>
      <c r="D2" s="4">
        <v>0.35</v>
      </c>
      <c r="E2" s="5">
        <v>0.6</v>
      </c>
      <c r="F2" s="3">
        <v>300</v>
      </c>
      <c r="G2" s="3" t="s">
        <v>10</v>
      </c>
      <c r="H2" s="3">
        <f t="shared" ref="H2:H3" si="0">+D2*E2</f>
        <v>0.21</v>
      </c>
      <c r="I2" s="3">
        <f t="shared" ref="I2:I3" si="1">+H2*F2</f>
        <v>63</v>
      </c>
      <c r="J2" s="18">
        <v>3915</v>
      </c>
      <c r="K2" s="20">
        <f t="shared" ref="K2:K3" si="2">+J2*I2/1000</f>
        <v>246.64500000000001</v>
      </c>
    </row>
    <row r="3" spans="1:11">
      <c r="A3" s="6">
        <v>46174</v>
      </c>
      <c r="B3" s="6" t="s">
        <v>43</v>
      </c>
      <c r="C3" s="3">
        <v>1</v>
      </c>
      <c r="D3" s="4">
        <v>0.35</v>
      </c>
      <c r="E3" s="5">
        <v>0.6</v>
      </c>
      <c r="F3" s="3">
        <v>300</v>
      </c>
      <c r="G3" s="3" t="s">
        <v>10</v>
      </c>
      <c r="H3" s="3">
        <f t="shared" si="0"/>
        <v>0.21</v>
      </c>
      <c r="I3" s="3">
        <f t="shared" si="1"/>
        <v>63</v>
      </c>
      <c r="J3" s="18">
        <v>3070</v>
      </c>
      <c r="K3" s="20">
        <f t="shared" si="2"/>
        <v>193.41</v>
      </c>
    </row>
    <row r="4" spans="1:11">
      <c r="A4" s="6">
        <v>46175</v>
      </c>
      <c r="B4" s="6" t="s">
        <v>43</v>
      </c>
      <c r="C4" s="3">
        <v>1</v>
      </c>
      <c r="D4" s="4">
        <v>0.35</v>
      </c>
      <c r="E4" s="5">
        <v>0.6</v>
      </c>
      <c r="F4" s="3">
        <v>300</v>
      </c>
      <c r="G4" s="3" t="s">
        <v>10</v>
      </c>
      <c r="H4" s="3">
        <f t="shared" ref="H4:H5" si="3">+D4*E4</f>
        <v>0.21</v>
      </c>
      <c r="I4" s="3">
        <f t="shared" ref="I4:I5" si="4">+H4*F4</f>
        <v>63</v>
      </c>
      <c r="J4" s="18">
        <v>680</v>
      </c>
      <c r="K4" s="20">
        <f t="shared" ref="K4:K5" si="5">+J4*I4/1000</f>
        <v>42.84</v>
      </c>
    </row>
    <row r="5" spans="1:11">
      <c r="A5" s="6">
        <v>46175</v>
      </c>
      <c r="B5" s="6" t="s">
        <v>76</v>
      </c>
      <c r="C5" s="3">
        <v>1</v>
      </c>
      <c r="D5" s="4">
        <v>0.6</v>
      </c>
      <c r="E5" s="5">
        <v>1.2</v>
      </c>
      <c r="F5" s="3">
        <v>280</v>
      </c>
      <c r="G5" s="3" t="s">
        <v>13</v>
      </c>
      <c r="H5" s="3">
        <f t="shared" si="3"/>
        <v>0.72</v>
      </c>
      <c r="I5" s="3">
        <f t="shared" si="4"/>
        <v>201.6</v>
      </c>
      <c r="J5" s="18">
        <v>150</v>
      </c>
      <c r="K5" s="20">
        <f t="shared" si="5"/>
        <v>30.24</v>
      </c>
    </row>
    <row r="6" spans="1:11">
      <c r="A6" s="6">
        <v>46175</v>
      </c>
      <c r="B6" s="6" t="s">
        <v>77</v>
      </c>
      <c r="C6" s="3">
        <v>1</v>
      </c>
      <c r="D6" s="4">
        <v>0.6</v>
      </c>
      <c r="E6" s="5">
        <v>1.2</v>
      </c>
      <c r="F6" s="3">
        <v>280</v>
      </c>
      <c r="G6" s="3" t="s">
        <v>13</v>
      </c>
      <c r="H6" s="3">
        <f t="shared" ref="H6" si="6">+D6*E6</f>
        <v>0.72</v>
      </c>
      <c r="I6" s="3">
        <f t="shared" ref="I6" si="7">+H6*F6</f>
        <v>201.6</v>
      </c>
      <c r="J6" s="18">
        <v>501</v>
      </c>
      <c r="K6" s="20">
        <f t="shared" ref="K6" si="8">+J6*I6/1000</f>
        <v>101.0016</v>
      </c>
    </row>
    <row r="7" spans="1:11">
      <c r="A7" s="6">
        <v>46176</v>
      </c>
      <c r="B7" s="6" t="s">
        <v>78</v>
      </c>
      <c r="C7" s="3">
        <v>1</v>
      </c>
      <c r="D7" s="4">
        <v>0.6</v>
      </c>
      <c r="E7" s="5">
        <v>0.44</v>
      </c>
      <c r="F7" s="3">
        <v>380</v>
      </c>
      <c r="G7" s="3" t="s">
        <v>13</v>
      </c>
      <c r="H7" s="3">
        <f t="shared" ref="H7:H8" si="9">+D7*E7</f>
        <v>0.26400000000000001</v>
      </c>
      <c r="I7" s="3">
        <f t="shared" ref="I7:I8" si="10">+H7*F7</f>
        <v>100.32000000000001</v>
      </c>
      <c r="J7" s="18">
        <v>306</v>
      </c>
      <c r="K7" s="20">
        <f t="shared" ref="K7:K8" si="11">+J7*I7/1000</f>
        <v>30.697920000000003</v>
      </c>
    </row>
    <row r="8" spans="1:11">
      <c r="A8" s="6">
        <v>46176</v>
      </c>
      <c r="B8" s="6" t="s">
        <v>79</v>
      </c>
      <c r="C8" s="3">
        <v>1</v>
      </c>
      <c r="D8" s="4">
        <v>0.6</v>
      </c>
      <c r="E8" s="5">
        <v>1.2</v>
      </c>
      <c r="F8" s="3">
        <v>280</v>
      </c>
      <c r="G8" s="3" t="s">
        <v>13</v>
      </c>
      <c r="H8" s="3">
        <f t="shared" si="9"/>
        <v>0.72</v>
      </c>
      <c r="I8" s="3">
        <f t="shared" si="10"/>
        <v>201.6</v>
      </c>
      <c r="J8" s="18">
        <v>1692</v>
      </c>
      <c r="K8" s="20">
        <f t="shared" si="11"/>
        <v>341.10720000000003</v>
      </c>
    </row>
    <row r="9" spans="1:11">
      <c r="A9" s="6">
        <v>46177</v>
      </c>
      <c r="B9" s="6" t="s">
        <v>79</v>
      </c>
      <c r="C9" s="3">
        <v>1</v>
      </c>
      <c r="D9" s="4">
        <v>0.6</v>
      </c>
      <c r="E9" s="5">
        <v>1.2</v>
      </c>
      <c r="F9" s="3">
        <v>280</v>
      </c>
      <c r="G9" s="3" t="s">
        <v>13</v>
      </c>
      <c r="H9" s="3">
        <f t="shared" ref="H9" si="12">+D9*E9</f>
        <v>0.72</v>
      </c>
      <c r="I9" s="3">
        <f t="shared" ref="I9" si="13">+H9*F9</f>
        <v>201.6</v>
      </c>
      <c r="J9" s="18">
        <v>408</v>
      </c>
      <c r="K9" s="20">
        <f t="shared" ref="K9" si="14">+J9*I9/1000</f>
        <v>82.252800000000008</v>
      </c>
    </row>
    <row r="10" spans="1:11">
      <c r="A10" s="6">
        <v>46177</v>
      </c>
      <c r="B10" s="6" t="s">
        <v>80</v>
      </c>
      <c r="C10" s="3">
        <v>1</v>
      </c>
      <c r="D10" s="4">
        <v>0.6</v>
      </c>
      <c r="E10" s="5">
        <v>1.2</v>
      </c>
      <c r="F10" s="3">
        <v>280</v>
      </c>
      <c r="G10" s="3" t="s">
        <v>13</v>
      </c>
      <c r="H10" s="3">
        <f t="shared" ref="H10" si="15">+D10*E10</f>
        <v>0.72</v>
      </c>
      <c r="I10" s="3">
        <f t="shared" ref="I10" si="16">+H10*F10</f>
        <v>201.6</v>
      </c>
      <c r="J10" s="18">
        <v>2100</v>
      </c>
      <c r="K10" s="20">
        <f t="shared" ref="K10" si="17">+J10*I10/1000</f>
        <v>423.36</v>
      </c>
    </row>
    <row r="11" spans="1:11">
      <c r="A11" s="6">
        <v>46178</v>
      </c>
      <c r="B11" s="6" t="s">
        <v>51</v>
      </c>
      <c r="C11" s="3">
        <v>1</v>
      </c>
      <c r="D11" s="4">
        <v>0.6</v>
      </c>
      <c r="E11" s="5">
        <v>1.2</v>
      </c>
      <c r="F11" s="3">
        <v>280</v>
      </c>
      <c r="G11" s="3" t="s">
        <v>13</v>
      </c>
      <c r="H11" s="3">
        <f t="shared" ref="H11" si="18">+D11*E11</f>
        <v>0.72</v>
      </c>
      <c r="I11" s="3">
        <f t="shared" ref="I11" si="19">+H11*F11</f>
        <v>201.6</v>
      </c>
      <c r="J11" s="18">
        <v>2133</v>
      </c>
      <c r="K11" s="20">
        <f t="shared" ref="K11" si="20">+J11*I11/1000</f>
        <v>430.01279999999997</v>
      </c>
    </row>
    <row r="12" spans="1:11">
      <c r="A12" s="6">
        <v>46179</v>
      </c>
      <c r="B12" s="6" t="s">
        <v>81</v>
      </c>
      <c r="C12" s="3">
        <v>1</v>
      </c>
      <c r="D12" s="4">
        <v>0.6</v>
      </c>
      <c r="E12" s="5">
        <v>1.2</v>
      </c>
      <c r="F12" s="3">
        <v>280</v>
      </c>
      <c r="G12" s="3" t="s">
        <v>13</v>
      </c>
      <c r="H12" s="3">
        <f t="shared" ref="H12:H15" si="21">+D12*E12</f>
        <v>0.72</v>
      </c>
      <c r="I12" s="3">
        <f t="shared" ref="I12:I15" si="22">+H12*F12</f>
        <v>201.6</v>
      </c>
      <c r="J12" s="18">
        <v>2310</v>
      </c>
      <c r="K12" s="20">
        <f t="shared" ref="K12:K13" si="23">+J12*I12/1000</f>
        <v>465.69600000000003</v>
      </c>
    </row>
    <row r="13" spans="1:11">
      <c r="A13" s="6">
        <v>46182</v>
      </c>
      <c r="B13" s="6" t="s">
        <v>59</v>
      </c>
      <c r="C13" s="3">
        <v>1</v>
      </c>
      <c r="D13" s="4">
        <v>0.35</v>
      </c>
      <c r="E13" s="5">
        <v>0.6</v>
      </c>
      <c r="F13" s="3">
        <v>300</v>
      </c>
      <c r="G13" s="3" t="s">
        <v>10</v>
      </c>
      <c r="H13" s="3">
        <f t="shared" si="21"/>
        <v>0.21</v>
      </c>
      <c r="I13" s="3">
        <f t="shared" si="22"/>
        <v>63</v>
      </c>
      <c r="J13" s="18">
        <v>4160</v>
      </c>
      <c r="K13" s="20">
        <f t="shared" si="23"/>
        <v>262.08</v>
      </c>
    </row>
    <row r="14" spans="1:11">
      <c r="A14" s="6">
        <v>46183</v>
      </c>
      <c r="B14" s="6" t="s">
        <v>82</v>
      </c>
      <c r="C14" s="29">
        <v>0</v>
      </c>
      <c r="D14" s="4">
        <v>0</v>
      </c>
      <c r="E14" s="5">
        <v>0</v>
      </c>
      <c r="F14" s="3">
        <v>0</v>
      </c>
      <c r="G14" s="3">
        <v>0</v>
      </c>
      <c r="H14" s="3">
        <f t="shared" si="21"/>
        <v>0</v>
      </c>
      <c r="I14" s="3">
        <f t="shared" si="22"/>
        <v>0</v>
      </c>
      <c r="J14" s="18">
        <v>0</v>
      </c>
      <c r="K14" s="20">
        <v>0</v>
      </c>
    </row>
    <row r="15" spans="1:11">
      <c r="A15" s="6">
        <v>46184</v>
      </c>
      <c r="B15" s="6" t="s">
        <v>83</v>
      </c>
      <c r="C15" s="3">
        <v>1</v>
      </c>
      <c r="D15" s="4">
        <v>0.6</v>
      </c>
      <c r="E15" s="5">
        <v>1.2</v>
      </c>
      <c r="F15" s="3">
        <v>280</v>
      </c>
      <c r="G15" s="3" t="s">
        <v>13</v>
      </c>
      <c r="H15" s="3">
        <f t="shared" si="21"/>
        <v>0.72</v>
      </c>
      <c r="I15" s="3">
        <f t="shared" si="22"/>
        <v>201.6</v>
      </c>
      <c r="J15" s="18">
        <v>2000</v>
      </c>
      <c r="K15" s="20">
        <f t="shared" ref="K15" si="24">+J15*I15/1000</f>
        <v>403.2</v>
      </c>
    </row>
    <row r="16" spans="1:11">
      <c r="A16" s="6">
        <v>46185</v>
      </c>
      <c r="B16" s="6" t="s">
        <v>15</v>
      </c>
      <c r="C16" s="3">
        <v>1</v>
      </c>
      <c r="D16" s="4">
        <v>0.6</v>
      </c>
      <c r="E16" s="5">
        <v>1.2</v>
      </c>
      <c r="F16" s="3">
        <v>280</v>
      </c>
      <c r="G16" s="3" t="s">
        <v>13</v>
      </c>
      <c r="H16" s="3">
        <f t="shared" ref="H16" si="25">+D16*E16</f>
        <v>0.72</v>
      </c>
      <c r="I16" s="3">
        <f t="shared" ref="I16" si="26">+H16*F16</f>
        <v>201.6</v>
      </c>
      <c r="J16" s="18">
        <v>2000</v>
      </c>
      <c r="K16" s="20">
        <f t="shared" ref="K16" si="27">+J16*I16/1000</f>
        <v>403.2</v>
      </c>
    </row>
    <row r="17" spans="1:11">
      <c r="A17" s="6">
        <v>46186</v>
      </c>
      <c r="B17" s="6" t="s">
        <v>64</v>
      </c>
      <c r="C17" s="3">
        <v>1</v>
      </c>
      <c r="D17" s="4">
        <v>0.6</v>
      </c>
      <c r="E17" s="5">
        <v>1.2</v>
      </c>
      <c r="F17" s="3">
        <v>280</v>
      </c>
      <c r="G17" s="3" t="s">
        <v>13</v>
      </c>
      <c r="H17" s="3">
        <f t="shared" ref="H17" si="28">+D17*E17</f>
        <v>0.72</v>
      </c>
      <c r="I17" s="3">
        <f t="shared" ref="I17" si="29">+H17*F17</f>
        <v>201.6</v>
      </c>
      <c r="J17" s="18">
        <v>2200</v>
      </c>
      <c r="K17" s="20">
        <f t="shared" ref="K17" si="30">+J17*I17/1000</f>
        <v>443.52</v>
      </c>
    </row>
    <row r="18" spans="1:11">
      <c r="A18" s="6">
        <v>46186</v>
      </c>
      <c r="B18" s="6" t="s">
        <v>57</v>
      </c>
      <c r="C18" s="3">
        <v>1</v>
      </c>
      <c r="D18" s="4">
        <v>0.6</v>
      </c>
      <c r="E18" s="5">
        <v>1.2</v>
      </c>
      <c r="F18" s="3">
        <v>280</v>
      </c>
      <c r="G18" s="3" t="s">
        <v>13</v>
      </c>
      <c r="H18" s="3">
        <f t="shared" ref="H18" si="31">+D18*E18</f>
        <v>0.72</v>
      </c>
      <c r="I18" s="3">
        <f t="shared" ref="I18" si="32">+H18*F18</f>
        <v>201.6</v>
      </c>
      <c r="J18" s="18">
        <v>390</v>
      </c>
      <c r="K18" s="20">
        <f t="shared" ref="K18" si="33">+J18*I18/1000</f>
        <v>78.623999999999995</v>
      </c>
    </row>
    <row r="19" spans="1:11">
      <c r="A19" s="6">
        <v>46188</v>
      </c>
      <c r="B19" s="6" t="s">
        <v>57</v>
      </c>
      <c r="C19" s="3">
        <v>1</v>
      </c>
      <c r="D19" s="4">
        <v>0.6</v>
      </c>
      <c r="E19" s="5">
        <v>1.2</v>
      </c>
      <c r="F19" s="3">
        <v>280</v>
      </c>
      <c r="G19" s="3" t="s">
        <v>13</v>
      </c>
      <c r="H19" s="3">
        <f t="shared" ref="H19" si="34">+D19*E19</f>
        <v>0.72</v>
      </c>
      <c r="I19" s="3">
        <f t="shared" ref="I19" si="35">+H19*F19</f>
        <v>201.6</v>
      </c>
      <c r="J19" s="18">
        <v>1656</v>
      </c>
      <c r="K19" s="20">
        <f t="shared" ref="K19" si="36">+J19*I19/1000</f>
        <v>333.84959999999995</v>
      </c>
    </row>
    <row r="20" spans="1:11">
      <c r="A20" s="6">
        <v>46189</v>
      </c>
      <c r="B20" s="6" t="s">
        <v>84</v>
      </c>
      <c r="C20" s="3">
        <v>1</v>
      </c>
      <c r="D20" s="4">
        <v>0.6</v>
      </c>
      <c r="E20" s="5">
        <v>1.2</v>
      </c>
      <c r="F20" s="3">
        <v>280</v>
      </c>
      <c r="G20" s="3" t="s">
        <v>13</v>
      </c>
      <c r="H20" s="3">
        <f t="shared" ref="H20:H21" si="37">+D20*E20</f>
        <v>0.72</v>
      </c>
      <c r="I20" s="3">
        <f t="shared" ref="I20:I21" si="38">+H20*F20</f>
        <v>201.6</v>
      </c>
      <c r="J20" s="18">
        <v>1200</v>
      </c>
      <c r="K20" s="20">
        <f t="shared" ref="K20:K21" si="39">+J20*I20/1000</f>
        <v>241.92</v>
      </c>
    </row>
    <row r="21" spans="1:11">
      <c r="A21" s="6">
        <v>46189</v>
      </c>
      <c r="B21" s="6" t="s">
        <v>61</v>
      </c>
      <c r="C21" s="3">
        <v>1</v>
      </c>
      <c r="D21" s="4">
        <v>0.6</v>
      </c>
      <c r="E21" s="5">
        <v>1.2</v>
      </c>
      <c r="F21" s="3">
        <v>280</v>
      </c>
      <c r="G21" s="3" t="s">
        <v>13</v>
      </c>
      <c r="H21" s="3">
        <f t="shared" si="37"/>
        <v>0.72</v>
      </c>
      <c r="I21" s="3">
        <f t="shared" si="38"/>
        <v>201.6</v>
      </c>
      <c r="J21" s="18">
        <v>345</v>
      </c>
      <c r="K21" s="20">
        <f t="shared" si="39"/>
        <v>69.552000000000007</v>
      </c>
    </row>
    <row r="22" spans="1:11">
      <c r="A22" s="6">
        <v>46190</v>
      </c>
      <c r="B22" s="6" t="s">
        <v>61</v>
      </c>
      <c r="C22" s="3">
        <v>1</v>
      </c>
      <c r="D22" s="4">
        <v>0.6</v>
      </c>
      <c r="E22" s="5">
        <v>1.2</v>
      </c>
      <c r="F22" s="3">
        <v>280</v>
      </c>
      <c r="G22" s="3" t="s">
        <v>13</v>
      </c>
      <c r="H22" s="3">
        <f t="shared" ref="H22" si="40">+D22*E22</f>
        <v>0.72</v>
      </c>
      <c r="I22" s="3">
        <f t="shared" ref="I22" si="41">+H22*F22</f>
        <v>201.6</v>
      </c>
      <c r="J22" s="18">
        <v>855</v>
      </c>
      <c r="K22" s="20">
        <f t="shared" ref="K22" si="42">+J22*I22/1000</f>
        <v>172.36799999999999</v>
      </c>
    </row>
    <row r="23" spans="1:11">
      <c r="A23" s="6">
        <v>46190</v>
      </c>
      <c r="B23" s="6" t="s">
        <v>28</v>
      </c>
      <c r="C23" s="3">
        <v>1</v>
      </c>
      <c r="D23" s="4">
        <v>0.6</v>
      </c>
      <c r="E23" s="5">
        <v>1.2</v>
      </c>
      <c r="F23" s="3">
        <v>280</v>
      </c>
      <c r="G23" s="3" t="s">
        <v>13</v>
      </c>
      <c r="H23" s="3">
        <f t="shared" ref="H23" si="43">+D23*E23</f>
        <v>0.72</v>
      </c>
      <c r="I23" s="3">
        <f t="shared" ref="I23" si="44">+H23*F23</f>
        <v>201.6</v>
      </c>
      <c r="J23" s="18">
        <v>2200</v>
      </c>
      <c r="K23" s="20">
        <f t="shared" ref="K23" si="45">+J23*I23/1000</f>
        <v>443.52</v>
      </c>
    </row>
    <row r="24" spans="1:11">
      <c r="A24" s="6">
        <v>46191</v>
      </c>
      <c r="B24" s="6" t="s">
        <v>85</v>
      </c>
      <c r="C24" s="3">
        <v>1</v>
      </c>
      <c r="D24" s="4">
        <v>0.6</v>
      </c>
      <c r="E24" s="5">
        <v>1.2</v>
      </c>
      <c r="F24" s="3">
        <v>280</v>
      </c>
      <c r="G24" s="3" t="s">
        <v>13</v>
      </c>
      <c r="H24" s="3">
        <f t="shared" ref="H24:H25" si="46">+D24*E24</f>
        <v>0.72</v>
      </c>
      <c r="I24" s="3">
        <f t="shared" ref="I24:I25" si="47">+H24*F24</f>
        <v>201.6</v>
      </c>
      <c r="J24" s="18">
        <v>420</v>
      </c>
      <c r="K24" s="20">
        <f t="shared" ref="K24:K25" si="48">+J24*I24/1000</f>
        <v>84.671999999999997</v>
      </c>
    </row>
    <row r="25" spans="1:11">
      <c r="A25" s="6">
        <v>46191</v>
      </c>
      <c r="B25" s="6" t="s">
        <v>57</v>
      </c>
      <c r="C25" s="3">
        <v>1</v>
      </c>
      <c r="D25" s="4">
        <v>0.6</v>
      </c>
      <c r="E25" s="5">
        <v>1.2</v>
      </c>
      <c r="F25" s="3">
        <v>280</v>
      </c>
      <c r="G25" s="3" t="s">
        <v>13</v>
      </c>
      <c r="H25" s="3">
        <f t="shared" si="46"/>
        <v>0.72</v>
      </c>
      <c r="I25" s="3">
        <f t="shared" si="47"/>
        <v>201.6</v>
      </c>
      <c r="J25" s="18">
        <v>1389</v>
      </c>
      <c r="K25" s="20">
        <f t="shared" si="48"/>
        <v>280.02239999999995</v>
      </c>
    </row>
    <row r="26" spans="1:11">
      <c r="A26" s="6">
        <v>46192</v>
      </c>
      <c r="B26" s="6" t="s">
        <v>15</v>
      </c>
      <c r="C26" s="3">
        <v>1</v>
      </c>
      <c r="D26" s="4">
        <v>0.6</v>
      </c>
      <c r="E26" s="5">
        <v>1.2</v>
      </c>
      <c r="F26" s="3">
        <v>280</v>
      </c>
      <c r="G26" s="3" t="s">
        <v>13</v>
      </c>
      <c r="H26" s="3">
        <f t="shared" ref="H26:H27" si="49">+D26*E26</f>
        <v>0.72</v>
      </c>
      <c r="I26" s="3">
        <f t="shared" ref="I26:I27" si="50">+H26*F26</f>
        <v>201.6</v>
      </c>
      <c r="J26" s="18">
        <v>1296</v>
      </c>
      <c r="K26" s="20">
        <f t="shared" ref="K26:K27" si="51">+J26*I26/1000</f>
        <v>261.27359999999999</v>
      </c>
    </row>
    <row r="27" spans="1:11">
      <c r="A27" s="6">
        <v>46192</v>
      </c>
      <c r="B27" s="6" t="s">
        <v>85</v>
      </c>
      <c r="C27" s="3">
        <v>1</v>
      </c>
      <c r="D27" s="4">
        <v>0.6</v>
      </c>
      <c r="E27" s="5">
        <v>1.2</v>
      </c>
      <c r="F27" s="3">
        <v>280</v>
      </c>
      <c r="G27" s="3" t="s">
        <v>13</v>
      </c>
      <c r="H27" s="3">
        <f t="shared" si="49"/>
        <v>0.72</v>
      </c>
      <c r="I27" s="3">
        <f t="shared" si="50"/>
        <v>201.6</v>
      </c>
      <c r="J27" s="18">
        <v>102</v>
      </c>
      <c r="K27" s="20">
        <f t="shared" si="51"/>
        <v>20.563200000000002</v>
      </c>
    </row>
    <row r="28" spans="1:11">
      <c r="A28" s="6">
        <v>46192</v>
      </c>
      <c r="B28" s="6" t="s">
        <v>86</v>
      </c>
      <c r="C28" s="3">
        <v>1</v>
      </c>
      <c r="D28" s="4">
        <v>0.4</v>
      </c>
      <c r="E28" s="5">
        <v>0.6</v>
      </c>
      <c r="F28" s="3">
        <v>380</v>
      </c>
      <c r="G28" s="3" t="s">
        <v>13</v>
      </c>
      <c r="H28" s="3">
        <f t="shared" ref="H28:H29" si="52">+D28*E28</f>
        <v>0.24</v>
      </c>
      <c r="I28" s="3">
        <f t="shared" ref="I28:I29" si="53">+H28*F28</f>
        <v>91.2</v>
      </c>
      <c r="J28" s="18">
        <v>492</v>
      </c>
      <c r="K28" s="20">
        <f t="shared" ref="K28:K29" si="54">+J28*I28/1000</f>
        <v>44.870400000000004</v>
      </c>
    </row>
    <row r="29" spans="1:11">
      <c r="A29" s="6">
        <v>46193</v>
      </c>
      <c r="B29" s="6" t="s">
        <v>15</v>
      </c>
      <c r="C29" s="3">
        <v>1</v>
      </c>
      <c r="D29" s="4">
        <v>0.6</v>
      </c>
      <c r="E29" s="5">
        <v>1.2</v>
      </c>
      <c r="F29" s="3">
        <v>280</v>
      </c>
      <c r="G29" s="3" t="s">
        <v>13</v>
      </c>
      <c r="H29" s="3">
        <f t="shared" si="52"/>
        <v>0.72</v>
      </c>
      <c r="I29" s="3">
        <f t="shared" si="53"/>
        <v>201.6</v>
      </c>
      <c r="J29" s="18">
        <v>705</v>
      </c>
      <c r="K29" s="20">
        <f t="shared" si="54"/>
        <v>142.12799999999999</v>
      </c>
    </row>
    <row r="30" spans="1:11">
      <c r="A30" s="6">
        <v>46193</v>
      </c>
      <c r="B30" s="6" t="s">
        <v>65</v>
      </c>
      <c r="C30" s="3">
        <v>1</v>
      </c>
      <c r="D30" s="4">
        <v>0.6</v>
      </c>
      <c r="E30" s="5">
        <v>1.2</v>
      </c>
      <c r="F30" s="3">
        <v>280</v>
      </c>
      <c r="G30" s="3" t="s">
        <v>13</v>
      </c>
      <c r="H30" s="3">
        <f t="shared" ref="H30" si="55">+D30*E30</f>
        <v>0.72</v>
      </c>
      <c r="I30" s="3">
        <f t="shared" ref="I30" si="56">+H30*F30</f>
        <v>201.6</v>
      </c>
      <c r="J30" s="18">
        <v>1560</v>
      </c>
      <c r="K30" s="20">
        <f t="shared" ref="K30" si="57">+J30*I30/1000</f>
        <v>314.49599999999998</v>
      </c>
    </row>
    <row r="31" spans="1:11">
      <c r="A31" s="6">
        <v>46195</v>
      </c>
      <c r="B31" s="6" t="s">
        <v>65</v>
      </c>
      <c r="C31" s="3">
        <v>1</v>
      </c>
      <c r="D31" s="4">
        <v>0.6</v>
      </c>
      <c r="E31" s="5">
        <v>1.2</v>
      </c>
      <c r="F31" s="3">
        <v>280</v>
      </c>
      <c r="G31" s="3" t="s">
        <v>13</v>
      </c>
      <c r="H31" s="3">
        <f t="shared" ref="H31" si="58">+D31*E31</f>
        <v>0.72</v>
      </c>
      <c r="I31" s="3">
        <f t="shared" ref="I31" si="59">+H31*F31</f>
        <v>201.6</v>
      </c>
      <c r="J31" s="18">
        <v>441</v>
      </c>
      <c r="K31" s="20">
        <f t="shared" ref="K31" si="60">+J31*I31/1000</f>
        <v>88.905599999999993</v>
      </c>
    </row>
    <row r="32" spans="1:11">
      <c r="A32" s="6">
        <v>46195</v>
      </c>
      <c r="B32" s="6" t="s">
        <v>77</v>
      </c>
      <c r="C32" s="3">
        <v>1</v>
      </c>
      <c r="D32" s="4">
        <v>0.6</v>
      </c>
      <c r="E32" s="5">
        <v>1.2</v>
      </c>
      <c r="F32" s="3">
        <v>280</v>
      </c>
      <c r="G32" s="3" t="s">
        <v>13</v>
      </c>
      <c r="H32" s="3">
        <f t="shared" ref="H32" si="61">+D32*E32</f>
        <v>0.72</v>
      </c>
      <c r="I32" s="3">
        <f t="shared" ref="I32" si="62">+H32*F32</f>
        <v>201.6</v>
      </c>
      <c r="J32" s="18">
        <v>1665</v>
      </c>
      <c r="K32" s="20">
        <f t="shared" ref="K32" si="63">+J32*I32/1000</f>
        <v>335.66399999999999</v>
      </c>
    </row>
    <row r="33" spans="1:11">
      <c r="A33" s="6">
        <v>46196</v>
      </c>
      <c r="B33" s="6" t="s">
        <v>77</v>
      </c>
      <c r="C33" s="3">
        <v>1</v>
      </c>
      <c r="D33" s="4">
        <v>0.6</v>
      </c>
      <c r="E33" s="5">
        <v>1.2</v>
      </c>
      <c r="F33" s="3">
        <v>280</v>
      </c>
      <c r="G33" s="3" t="s">
        <v>13</v>
      </c>
      <c r="H33" s="3">
        <f t="shared" ref="H33:H34" si="64">+D33*E33</f>
        <v>0.72</v>
      </c>
      <c r="I33" s="3">
        <f t="shared" ref="I33:I34" si="65">+H33*F33</f>
        <v>201.6</v>
      </c>
      <c r="J33" s="18">
        <v>336</v>
      </c>
      <c r="K33" s="20">
        <f t="shared" ref="K33:K34" si="66">+J33*I33/1000</f>
        <v>67.737599999999986</v>
      </c>
    </row>
    <row r="34" spans="1:11">
      <c r="A34" s="6">
        <v>46196</v>
      </c>
      <c r="B34" s="6" t="s">
        <v>75</v>
      </c>
      <c r="C34" s="3">
        <v>1</v>
      </c>
      <c r="D34" s="4">
        <v>0.6</v>
      </c>
      <c r="E34" s="5">
        <v>1.2</v>
      </c>
      <c r="F34" s="3">
        <v>280</v>
      </c>
      <c r="G34" s="3" t="s">
        <v>13</v>
      </c>
      <c r="H34" s="3">
        <f t="shared" si="64"/>
        <v>0.72</v>
      </c>
      <c r="I34" s="3">
        <f t="shared" si="65"/>
        <v>201.6</v>
      </c>
      <c r="J34" s="18">
        <v>1125</v>
      </c>
      <c r="K34" s="20">
        <f t="shared" si="66"/>
        <v>226.8</v>
      </c>
    </row>
    <row r="35" spans="1:11">
      <c r="A35" s="6">
        <v>46197</v>
      </c>
      <c r="B35" s="6" t="s">
        <v>75</v>
      </c>
      <c r="C35" s="3">
        <v>1</v>
      </c>
      <c r="D35" s="4">
        <v>0.6</v>
      </c>
      <c r="E35" s="5">
        <v>1.2</v>
      </c>
      <c r="F35" s="3">
        <v>280</v>
      </c>
      <c r="G35" s="3" t="s">
        <v>13</v>
      </c>
      <c r="H35" s="3">
        <f t="shared" ref="H35" si="67">+D35*E35</f>
        <v>0.72</v>
      </c>
      <c r="I35" s="3">
        <f t="shared" ref="I35" si="68">+H35*F35</f>
        <v>201.6</v>
      </c>
      <c r="J35" s="18">
        <v>876</v>
      </c>
      <c r="K35" s="20">
        <f t="shared" ref="K35" si="69">+J35*I35/1000</f>
        <v>176.60160000000002</v>
      </c>
    </row>
    <row r="36" spans="1:11">
      <c r="A36" s="6">
        <v>46197</v>
      </c>
      <c r="B36" s="6" t="s">
        <v>32</v>
      </c>
      <c r="C36" s="3">
        <v>1</v>
      </c>
      <c r="D36" s="4">
        <v>0.6</v>
      </c>
      <c r="E36" s="5">
        <v>1.2</v>
      </c>
      <c r="F36" s="3">
        <v>280</v>
      </c>
      <c r="G36" s="3" t="s">
        <v>13</v>
      </c>
      <c r="H36" s="3">
        <f t="shared" ref="H36" si="70">+D36*E36</f>
        <v>0.72</v>
      </c>
      <c r="I36" s="3">
        <f t="shared" ref="I36" si="71">+H36*F36</f>
        <v>201.6</v>
      </c>
      <c r="J36" s="18">
        <v>1392</v>
      </c>
      <c r="K36" s="20">
        <f t="shared" ref="K36" si="72">+J36*I36/1000</f>
        <v>280.62720000000002</v>
      </c>
    </row>
    <row r="37" spans="1:11">
      <c r="A37" s="6">
        <v>46198</v>
      </c>
      <c r="B37" s="6" t="s">
        <v>32</v>
      </c>
      <c r="C37" s="3">
        <v>1</v>
      </c>
      <c r="D37" s="4">
        <v>0.6</v>
      </c>
      <c r="E37" s="5">
        <v>1.2</v>
      </c>
      <c r="F37" s="3">
        <v>280</v>
      </c>
      <c r="G37" s="3" t="s">
        <v>13</v>
      </c>
      <c r="H37" s="3">
        <f t="shared" ref="H37:H39" si="73">+D37*E37</f>
        <v>0.72</v>
      </c>
      <c r="I37" s="3">
        <f t="shared" ref="I37:I39" si="74">+H37*F37</f>
        <v>201.6</v>
      </c>
      <c r="J37" s="18">
        <v>609</v>
      </c>
      <c r="K37" s="20">
        <f t="shared" ref="K37:K39" si="75">+J37*I37/1000</f>
        <v>122.7744</v>
      </c>
    </row>
    <row r="38" spans="1:11">
      <c r="A38" s="6">
        <v>46198</v>
      </c>
      <c r="B38" s="6" t="s">
        <v>29</v>
      </c>
      <c r="C38" s="3">
        <v>1</v>
      </c>
      <c r="D38" s="4">
        <v>0.6</v>
      </c>
      <c r="E38" s="5">
        <v>1.2</v>
      </c>
      <c r="F38" s="3">
        <v>280</v>
      </c>
      <c r="G38" s="3" t="s">
        <v>13</v>
      </c>
      <c r="H38" s="3">
        <f t="shared" si="73"/>
        <v>0.72</v>
      </c>
      <c r="I38" s="3">
        <f t="shared" si="74"/>
        <v>201.6</v>
      </c>
      <c r="J38" s="18">
        <v>1200</v>
      </c>
      <c r="K38" s="20">
        <f t="shared" si="75"/>
        <v>241.92</v>
      </c>
    </row>
    <row r="39" spans="1:11">
      <c r="A39" s="6">
        <v>46198</v>
      </c>
      <c r="B39" s="6" t="s">
        <v>28</v>
      </c>
      <c r="C39" s="3">
        <v>1</v>
      </c>
      <c r="D39" s="4">
        <v>0.6</v>
      </c>
      <c r="E39" s="5">
        <v>1.2</v>
      </c>
      <c r="F39" s="3">
        <v>280</v>
      </c>
      <c r="G39" s="3" t="s">
        <v>13</v>
      </c>
      <c r="H39" s="3">
        <f t="shared" si="73"/>
        <v>0.72</v>
      </c>
      <c r="I39" s="3">
        <f t="shared" si="74"/>
        <v>201.6</v>
      </c>
      <c r="J39" s="18">
        <v>108</v>
      </c>
      <c r="K39" s="20">
        <f t="shared" si="75"/>
        <v>21.7728</v>
      </c>
    </row>
    <row r="40" spans="1:11">
      <c r="A40" s="6">
        <v>46199</v>
      </c>
      <c r="B40" s="6" t="s">
        <v>28</v>
      </c>
      <c r="C40" s="3">
        <v>1</v>
      </c>
      <c r="D40" s="4">
        <v>0.6</v>
      </c>
      <c r="E40" s="5">
        <v>1.2</v>
      </c>
      <c r="F40" s="3">
        <v>280</v>
      </c>
      <c r="G40" s="3" t="s">
        <v>13</v>
      </c>
      <c r="H40" s="3">
        <f t="shared" ref="H40:H41" si="76">+D40*E40</f>
        <v>0.72</v>
      </c>
      <c r="I40" s="3">
        <f t="shared" ref="I40:I41" si="77">+H40*F40</f>
        <v>201.6</v>
      </c>
      <c r="J40" s="18">
        <v>1092</v>
      </c>
      <c r="K40" s="20">
        <f t="shared" ref="K40:K41" si="78">+J40*I40/1000</f>
        <v>220.14719999999997</v>
      </c>
    </row>
    <row r="41" spans="1:11">
      <c r="A41" s="6">
        <v>46199</v>
      </c>
      <c r="B41" s="6" t="s">
        <v>87</v>
      </c>
      <c r="C41" s="3">
        <v>1</v>
      </c>
      <c r="D41" s="4">
        <v>0.6</v>
      </c>
      <c r="E41" s="5">
        <v>1.2</v>
      </c>
      <c r="F41" s="3">
        <v>280</v>
      </c>
      <c r="G41" s="3" t="s">
        <v>13</v>
      </c>
      <c r="H41" s="3">
        <f t="shared" si="76"/>
        <v>0.72</v>
      </c>
      <c r="I41" s="3">
        <f t="shared" si="77"/>
        <v>201.6</v>
      </c>
      <c r="J41" s="18">
        <v>1488</v>
      </c>
      <c r="K41" s="20">
        <f t="shared" si="78"/>
        <v>299.98079999999999</v>
      </c>
    </row>
    <row r="42" spans="1:11">
      <c r="A42" s="6">
        <v>46200</v>
      </c>
      <c r="B42" s="6" t="s">
        <v>87</v>
      </c>
      <c r="C42" s="3">
        <v>1</v>
      </c>
      <c r="D42" s="4">
        <v>0.6</v>
      </c>
      <c r="E42" s="5">
        <v>1.2</v>
      </c>
      <c r="F42" s="3">
        <v>280</v>
      </c>
      <c r="G42" s="3" t="s">
        <v>13</v>
      </c>
      <c r="H42" s="3">
        <f t="shared" ref="H42:H43" si="79">+D42*E42</f>
        <v>0.72</v>
      </c>
      <c r="I42" s="3">
        <f t="shared" ref="I42:I43" si="80">+H42*F42</f>
        <v>201.6</v>
      </c>
      <c r="J42" s="18">
        <v>512</v>
      </c>
      <c r="K42" s="20">
        <f t="shared" ref="K42:K43" si="81">+J42*I42/1000</f>
        <v>103.2192</v>
      </c>
    </row>
    <row r="43" spans="1:11">
      <c r="A43" s="6">
        <v>46200</v>
      </c>
      <c r="B43" s="6" t="s">
        <v>50</v>
      </c>
      <c r="C43" s="3">
        <v>1</v>
      </c>
      <c r="D43" s="4">
        <v>0.6</v>
      </c>
      <c r="E43" s="5">
        <v>1.2</v>
      </c>
      <c r="F43" s="3">
        <v>280</v>
      </c>
      <c r="G43" s="3" t="s">
        <v>13</v>
      </c>
      <c r="H43" s="3">
        <f t="shared" si="79"/>
        <v>0.72</v>
      </c>
      <c r="I43" s="3">
        <f t="shared" si="80"/>
        <v>201.6</v>
      </c>
      <c r="J43" s="18">
        <v>2000</v>
      </c>
      <c r="K43" s="20">
        <f t="shared" si="81"/>
        <v>403.2</v>
      </c>
    </row>
    <row r="44" spans="1:11">
      <c r="A44" s="6">
        <v>46203</v>
      </c>
      <c r="B44" s="6" t="s">
        <v>79</v>
      </c>
      <c r="C44" s="3">
        <v>1</v>
      </c>
      <c r="D44" s="4">
        <v>0.6</v>
      </c>
      <c r="E44" s="5">
        <v>1.2</v>
      </c>
      <c r="F44" s="3">
        <v>280</v>
      </c>
      <c r="G44" s="3" t="s">
        <v>13</v>
      </c>
      <c r="H44" s="3">
        <f t="shared" ref="H44" si="82">+D44*E44</f>
        <v>0.72</v>
      </c>
      <c r="I44" s="3">
        <f t="shared" ref="I44" si="83">+H44*F44</f>
        <v>201.6</v>
      </c>
      <c r="J44" s="18">
        <v>1662</v>
      </c>
      <c r="K44" s="20">
        <f t="shared" ref="K44" si="84">+J44*I44/1000</f>
        <v>335.05920000000003</v>
      </c>
    </row>
    <row r="45" spans="1:11">
      <c r="A45" s="6">
        <v>46203</v>
      </c>
      <c r="B45" s="6" t="s">
        <v>80</v>
      </c>
      <c r="C45" s="3">
        <v>1</v>
      </c>
      <c r="D45" s="4">
        <v>0.6</v>
      </c>
      <c r="E45" s="5">
        <v>1.2</v>
      </c>
      <c r="F45" s="3">
        <v>280</v>
      </c>
      <c r="G45" s="3" t="s">
        <v>13</v>
      </c>
      <c r="H45" s="3">
        <f t="shared" ref="H45" si="85">+D45*E45</f>
        <v>0.72</v>
      </c>
      <c r="I45" s="3">
        <f t="shared" ref="I45" si="86">+H45*F45</f>
        <v>201.6</v>
      </c>
      <c r="J45" s="18">
        <v>30</v>
      </c>
      <c r="K45" s="20">
        <f t="shared" ref="K45" si="87">+J45*I45/1000</f>
        <v>6.048</v>
      </c>
    </row>
    <row r="46" spans="1:11">
      <c r="A46" s="6"/>
      <c r="B46" s="6"/>
      <c r="C46" s="3"/>
      <c r="D46" s="4"/>
      <c r="E46" s="5"/>
      <c r="F46" s="3"/>
      <c r="G46" s="3"/>
      <c r="H46" s="3"/>
      <c r="I46" s="3"/>
      <c r="J46" s="18"/>
      <c r="K46" s="20"/>
    </row>
    <row r="47" spans="1:11">
      <c r="A47" s="27" t="s">
        <v>99</v>
      </c>
      <c r="B47" s="14"/>
      <c r="C47" s="14"/>
      <c r="D47" s="14"/>
      <c r="E47" s="14"/>
      <c r="F47" s="14"/>
      <c r="G47" s="14"/>
      <c r="H47" s="14"/>
      <c r="I47" s="14"/>
      <c r="J47" s="22">
        <f>SUM(J2:J46)</f>
        <v>54771</v>
      </c>
      <c r="K47" s="25">
        <f>SUM(K2:K46)</f>
        <v>9317.5801199999987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9"/>
  <sheetViews>
    <sheetView topLeftCell="A20" zoomScale="90" zoomScaleNormal="90" workbookViewId="0">
      <selection activeCell="M37" sqref="M37"/>
    </sheetView>
  </sheetViews>
  <sheetFormatPr baseColWidth="10" defaultRowHeight="15"/>
  <cols>
    <col min="1" max="1" width="14.28515625" customWidth="1"/>
    <col min="2" max="2" width="27.42578125" customWidth="1"/>
    <col min="7" max="7" width="14.7109375" customWidth="1"/>
    <col min="9" max="9" width="14.28515625" customWidth="1"/>
    <col min="10" max="10" width="14.140625" customWidth="1"/>
    <col min="11" max="11" width="14.28515625" customWidth="1"/>
  </cols>
  <sheetData>
    <row r="1" spans="1:11">
      <c r="A1" s="21" t="s">
        <v>0</v>
      </c>
      <c r="B1" s="1" t="s">
        <v>1</v>
      </c>
      <c r="C1" s="1" t="s">
        <v>2</v>
      </c>
      <c r="D1" s="1" t="s">
        <v>3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6">
        <v>46204</v>
      </c>
      <c r="B2" s="6" t="s">
        <v>80</v>
      </c>
      <c r="C2" s="3">
        <v>1</v>
      </c>
      <c r="D2" s="4">
        <v>0.6</v>
      </c>
      <c r="E2" s="5">
        <v>1.2</v>
      </c>
      <c r="F2" s="3">
        <v>280</v>
      </c>
      <c r="G2" s="3" t="s">
        <v>13</v>
      </c>
      <c r="H2" s="3">
        <f t="shared" ref="H2:H3" si="0">+D2*E2</f>
        <v>0.72</v>
      </c>
      <c r="I2" s="3">
        <f t="shared" ref="I2:I3" si="1">+H2*F2</f>
        <v>201.6</v>
      </c>
      <c r="J2" s="18">
        <v>327</v>
      </c>
      <c r="K2" s="20">
        <f t="shared" ref="K2:K3" si="2">+J2*I2/1000</f>
        <v>65.923199999999994</v>
      </c>
    </row>
    <row r="3" spans="1:11">
      <c r="A3" s="6">
        <v>46205</v>
      </c>
      <c r="B3" s="3" t="s">
        <v>66</v>
      </c>
      <c r="C3" s="7">
        <v>1</v>
      </c>
      <c r="D3" s="4">
        <v>0.6</v>
      </c>
      <c r="E3" s="5">
        <v>1.2</v>
      </c>
      <c r="F3" s="3">
        <v>320</v>
      </c>
      <c r="G3" s="3" t="s">
        <v>10</v>
      </c>
      <c r="H3" s="3">
        <f t="shared" si="0"/>
        <v>0.72</v>
      </c>
      <c r="I3" s="3">
        <f t="shared" si="1"/>
        <v>230.39999999999998</v>
      </c>
      <c r="J3" s="18">
        <v>2130</v>
      </c>
      <c r="K3" s="20">
        <f t="shared" si="2"/>
        <v>490.75199999999995</v>
      </c>
    </row>
    <row r="4" spans="1:11">
      <c r="A4" s="6">
        <v>46206</v>
      </c>
      <c r="B4" s="6" t="s">
        <v>80</v>
      </c>
      <c r="C4" s="3">
        <v>1</v>
      </c>
      <c r="D4" s="4">
        <v>0.6</v>
      </c>
      <c r="E4" s="5">
        <v>1.2</v>
      </c>
      <c r="F4" s="3">
        <v>280</v>
      </c>
      <c r="G4" s="3" t="s">
        <v>13</v>
      </c>
      <c r="H4" s="3">
        <f t="shared" ref="H4" si="3">+D4*E4</f>
        <v>0.72</v>
      </c>
      <c r="I4" s="3">
        <f t="shared" ref="I4" si="4">+H4*F4</f>
        <v>201.6</v>
      </c>
      <c r="J4" s="18">
        <v>675</v>
      </c>
      <c r="K4" s="20">
        <f t="shared" ref="K4" si="5">+J4*I4/1000</f>
        <v>136.08000000000001</v>
      </c>
    </row>
    <row r="5" spans="1:11">
      <c r="A5" s="6">
        <v>46206</v>
      </c>
      <c r="B5" s="6" t="s">
        <v>89</v>
      </c>
      <c r="C5" s="3">
        <v>1</v>
      </c>
      <c r="D5" s="4">
        <v>0.3</v>
      </c>
      <c r="E5" s="5">
        <v>0.5</v>
      </c>
      <c r="F5" s="3">
        <v>380</v>
      </c>
      <c r="G5" s="3" t="s">
        <v>13</v>
      </c>
      <c r="H5" s="3">
        <f t="shared" ref="H5:H6" si="6">+D5*E5</f>
        <v>0.15</v>
      </c>
      <c r="I5" s="3">
        <f t="shared" ref="I5:I6" si="7">+H5*F5</f>
        <v>57</v>
      </c>
      <c r="J5" s="18">
        <v>2190</v>
      </c>
      <c r="K5" s="20">
        <f t="shared" ref="K5:K6" si="8">+J5*I5/1000</f>
        <v>124.83</v>
      </c>
    </row>
    <row r="6" spans="1:11">
      <c r="A6" s="6">
        <v>46207</v>
      </c>
      <c r="B6" s="6" t="s">
        <v>80</v>
      </c>
      <c r="C6" s="3">
        <v>1</v>
      </c>
      <c r="D6" s="4">
        <v>0.6</v>
      </c>
      <c r="E6" s="5">
        <v>1.2</v>
      </c>
      <c r="F6" s="3">
        <v>280</v>
      </c>
      <c r="G6" s="3" t="s">
        <v>13</v>
      </c>
      <c r="H6" s="3">
        <f t="shared" si="6"/>
        <v>0.72</v>
      </c>
      <c r="I6" s="3">
        <f t="shared" si="7"/>
        <v>201.6</v>
      </c>
      <c r="J6" s="18">
        <v>603</v>
      </c>
      <c r="K6" s="20">
        <f t="shared" si="8"/>
        <v>121.56480000000001</v>
      </c>
    </row>
    <row r="7" spans="1:11">
      <c r="A7" s="6">
        <v>46208</v>
      </c>
      <c r="B7" s="6" t="s">
        <v>90</v>
      </c>
      <c r="C7" s="3"/>
      <c r="D7" s="4"/>
      <c r="E7" s="5"/>
      <c r="F7" s="3"/>
      <c r="G7" s="3"/>
      <c r="H7" s="3"/>
      <c r="I7" s="3"/>
      <c r="J7" s="18"/>
      <c r="K7" s="20"/>
    </row>
    <row r="8" spans="1:11">
      <c r="A8" s="6">
        <v>46209</v>
      </c>
      <c r="B8" s="6" t="s">
        <v>90</v>
      </c>
      <c r="C8" s="3"/>
      <c r="D8" s="4"/>
      <c r="E8" s="5"/>
      <c r="F8" s="3"/>
      <c r="G8" s="3"/>
      <c r="H8" s="3"/>
      <c r="I8" s="3"/>
      <c r="J8" s="18"/>
      <c r="K8" s="20"/>
    </row>
    <row r="9" spans="1:11">
      <c r="A9" s="6">
        <v>46210</v>
      </c>
      <c r="B9" s="6" t="s">
        <v>80</v>
      </c>
      <c r="C9" s="3">
        <v>1</v>
      </c>
      <c r="D9" s="4">
        <v>0.6</v>
      </c>
      <c r="E9" s="5">
        <v>1.2</v>
      </c>
      <c r="F9" s="3">
        <v>280</v>
      </c>
      <c r="G9" s="3" t="s">
        <v>13</v>
      </c>
      <c r="H9" s="3">
        <f t="shared" ref="H9" si="9">+D9*E9</f>
        <v>0.72</v>
      </c>
      <c r="I9" s="3">
        <f t="shared" ref="I9" si="10">+H9*F9</f>
        <v>201.6</v>
      </c>
      <c r="J9" s="18">
        <v>1203</v>
      </c>
      <c r="K9" s="20">
        <f t="shared" ref="K9" si="11">+J9*I9/1000</f>
        <v>242.5248</v>
      </c>
    </row>
    <row r="10" spans="1:11">
      <c r="A10" s="6">
        <v>46210</v>
      </c>
      <c r="B10" s="6" t="s">
        <v>64</v>
      </c>
      <c r="C10" s="3">
        <v>1</v>
      </c>
      <c r="D10" s="4">
        <v>0.6</v>
      </c>
      <c r="E10" s="5">
        <v>1.2</v>
      </c>
      <c r="F10" s="3">
        <v>280</v>
      </c>
      <c r="G10" s="3" t="s">
        <v>13</v>
      </c>
      <c r="H10" s="3">
        <f t="shared" ref="H10" si="12">+D10*E10</f>
        <v>0.72</v>
      </c>
      <c r="I10" s="3">
        <f t="shared" ref="I10" si="13">+H10*F10</f>
        <v>201.6</v>
      </c>
      <c r="J10" s="18">
        <v>369</v>
      </c>
      <c r="K10" s="20">
        <f t="shared" ref="K10" si="14">+J10*I10/1000</f>
        <v>74.3904</v>
      </c>
    </row>
    <row r="11" spans="1:11">
      <c r="A11" s="6">
        <v>46211</v>
      </c>
      <c r="B11" s="6" t="s">
        <v>64</v>
      </c>
      <c r="C11" s="3">
        <v>1</v>
      </c>
      <c r="D11" s="4">
        <v>0.6</v>
      </c>
      <c r="E11" s="5">
        <v>1.2</v>
      </c>
      <c r="F11" s="3">
        <v>280</v>
      </c>
      <c r="G11" s="3" t="s">
        <v>13</v>
      </c>
      <c r="H11" s="3">
        <f t="shared" ref="H11" si="15">+D11*E11</f>
        <v>0.72</v>
      </c>
      <c r="I11" s="3">
        <f t="shared" ref="I11" si="16">+H11*F11</f>
        <v>201.6</v>
      </c>
      <c r="J11" s="18">
        <v>1197</v>
      </c>
      <c r="K11" s="20">
        <f t="shared" ref="K11" si="17">+J11*I11/1000</f>
        <v>241.31519999999998</v>
      </c>
    </row>
    <row r="12" spans="1:11">
      <c r="A12" s="6">
        <v>46211</v>
      </c>
      <c r="B12" s="6" t="s">
        <v>79</v>
      </c>
      <c r="C12" s="3">
        <v>1</v>
      </c>
      <c r="D12" s="4">
        <v>0.6</v>
      </c>
      <c r="E12" s="5">
        <v>1.2</v>
      </c>
      <c r="F12" s="3">
        <v>280</v>
      </c>
      <c r="G12" s="3" t="s">
        <v>13</v>
      </c>
      <c r="H12" s="3">
        <f t="shared" ref="H12" si="18">+D12*E12</f>
        <v>0.72</v>
      </c>
      <c r="I12" s="3">
        <f t="shared" ref="I12" si="19">+H12*F12</f>
        <v>201.6</v>
      </c>
      <c r="J12" s="18">
        <v>402</v>
      </c>
      <c r="K12" s="20">
        <f t="shared" ref="K12" si="20">+J12*I12/1000</f>
        <v>81.043199999999999</v>
      </c>
    </row>
    <row r="13" spans="1:11">
      <c r="A13" s="6">
        <v>46211</v>
      </c>
      <c r="B13" s="6" t="s">
        <v>91</v>
      </c>
      <c r="C13" s="3">
        <v>1</v>
      </c>
      <c r="D13" s="4">
        <v>0.6</v>
      </c>
      <c r="E13" s="5">
        <v>1.2</v>
      </c>
      <c r="F13" s="3">
        <v>280</v>
      </c>
      <c r="G13" s="3" t="s">
        <v>13</v>
      </c>
      <c r="H13" s="3">
        <f t="shared" ref="H13" si="21">+D13*E13</f>
        <v>0.72</v>
      </c>
      <c r="I13" s="3">
        <f t="shared" ref="I13" si="22">+H13*F13</f>
        <v>201.6</v>
      </c>
      <c r="J13" s="18">
        <v>102</v>
      </c>
      <c r="K13" s="20">
        <f t="shared" ref="K13" si="23">+J13*I13/1000</f>
        <v>20.563200000000002</v>
      </c>
    </row>
    <row r="14" spans="1:11">
      <c r="A14" s="6">
        <v>46212</v>
      </c>
      <c r="B14" s="6" t="s">
        <v>91</v>
      </c>
      <c r="C14" s="3">
        <v>1</v>
      </c>
      <c r="D14" s="4">
        <v>0.6</v>
      </c>
      <c r="E14" s="5">
        <v>1.2</v>
      </c>
      <c r="F14" s="3">
        <v>280</v>
      </c>
      <c r="G14" s="3" t="s">
        <v>13</v>
      </c>
      <c r="H14" s="3">
        <f t="shared" ref="H14" si="24">+D14*E14</f>
        <v>0.72</v>
      </c>
      <c r="I14" s="3">
        <f t="shared" ref="I14" si="25">+H14*F14</f>
        <v>201.6</v>
      </c>
      <c r="J14" s="18">
        <v>1470</v>
      </c>
      <c r="K14" s="20">
        <f t="shared" ref="K14" si="26">+J14*I14/1000</f>
        <v>296.35199999999998</v>
      </c>
    </row>
    <row r="15" spans="1:11">
      <c r="A15" s="6">
        <v>46216</v>
      </c>
      <c r="B15" s="6" t="s">
        <v>57</v>
      </c>
      <c r="C15" s="3">
        <v>1</v>
      </c>
      <c r="D15" s="4">
        <v>0.6</v>
      </c>
      <c r="E15" s="5">
        <v>1.2</v>
      </c>
      <c r="F15" s="3">
        <v>280</v>
      </c>
      <c r="G15" s="3" t="s">
        <v>13</v>
      </c>
      <c r="H15" s="3">
        <f t="shared" ref="H15:H16" si="27">+D15*E15</f>
        <v>0.72</v>
      </c>
      <c r="I15" s="3">
        <f t="shared" ref="I15:I16" si="28">+H15*F15</f>
        <v>201.6</v>
      </c>
      <c r="J15" s="18">
        <v>1077</v>
      </c>
      <c r="K15" s="20">
        <f t="shared" ref="K15:K16" si="29">+J15*I15/1000</f>
        <v>217.12319999999997</v>
      </c>
    </row>
    <row r="16" spans="1:11">
      <c r="A16" s="6">
        <v>46216</v>
      </c>
      <c r="B16" s="6" t="s">
        <v>15</v>
      </c>
      <c r="C16" s="3">
        <v>1</v>
      </c>
      <c r="D16" s="4">
        <v>0.6</v>
      </c>
      <c r="E16" s="5">
        <v>1.2</v>
      </c>
      <c r="F16" s="3">
        <v>280</v>
      </c>
      <c r="G16" s="3" t="s">
        <v>13</v>
      </c>
      <c r="H16" s="3">
        <f t="shared" si="27"/>
        <v>0.72</v>
      </c>
      <c r="I16" s="3">
        <f t="shared" si="28"/>
        <v>201.6</v>
      </c>
      <c r="J16" s="18">
        <v>651</v>
      </c>
      <c r="K16" s="20">
        <f t="shared" si="29"/>
        <v>131.24160000000001</v>
      </c>
    </row>
    <row r="17" spans="1:11">
      <c r="A17" s="6">
        <v>46217</v>
      </c>
      <c r="B17" s="6" t="s">
        <v>15</v>
      </c>
      <c r="C17" s="3">
        <v>1</v>
      </c>
      <c r="D17" s="4">
        <v>0.6</v>
      </c>
      <c r="E17" s="5">
        <v>1.2</v>
      </c>
      <c r="F17" s="3">
        <v>280</v>
      </c>
      <c r="G17" s="3" t="s">
        <v>13</v>
      </c>
      <c r="H17" s="3">
        <f t="shared" ref="H17" si="30">+D17*E17</f>
        <v>0.72</v>
      </c>
      <c r="I17" s="3">
        <f t="shared" ref="I17" si="31">+H17*F17</f>
        <v>201.6</v>
      </c>
      <c r="J17" s="18">
        <v>1350</v>
      </c>
      <c r="K17" s="20">
        <f t="shared" ref="K17" si="32">+J17*I17/1000</f>
        <v>272.16000000000003</v>
      </c>
    </row>
    <row r="18" spans="1:11">
      <c r="A18" s="6">
        <v>46217</v>
      </c>
      <c r="B18" s="6" t="s">
        <v>29</v>
      </c>
      <c r="C18" s="3">
        <v>1</v>
      </c>
      <c r="D18" s="4">
        <v>0.6</v>
      </c>
      <c r="E18" s="5">
        <v>1.2</v>
      </c>
      <c r="F18" s="3">
        <v>280</v>
      </c>
      <c r="G18" s="3" t="s">
        <v>13</v>
      </c>
      <c r="H18" s="3">
        <f t="shared" ref="H18" si="33">+D18*E18</f>
        <v>0.72</v>
      </c>
      <c r="I18" s="3">
        <f t="shared" ref="I18" si="34">+H18*F18</f>
        <v>201.6</v>
      </c>
      <c r="J18" s="18">
        <v>1116</v>
      </c>
      <c r="K18" s="20">
        <f t="shared" ref="K18" si="35">+J18*I18/1000</f>
        <v>224.98560000000001</v>
      </c>
    </row>
    <row r="19" spans="1:11">
      <c r="A19" s="6">
        <v>46218</v>
      </c>
      <c r="B19" s="6" t="s">
        <v>29</v>
      </c>
      <c r="C19" s="3">
        <v>1</v>
      </c>
      <c r="D19" s="4">
        <v>0.6</v>
      </c>
      <c r="E19" s="5">
        <v>1.2</v>
      </c>
      <c r="F19" s="3">
        <v>280</v>
      </c>
      <c r="G19" s="3" t="s">
        <v>13</v>
      </c>
      <c r="H19" s="3">
        <f t="shared" ref="H19" si="36">+D19*E19</f>
        <v>0.72</v>
      </c>
      <c r="I19" s="3">
        <f t="shared" ref="I19" si="37">+H19*F19</f>
        <v>201.6</v>
      </c>
      <c r="J19" s="18">
        <v>884</v>
      </c>
      <c r="K19" s="20">
        <f t="shared" ref="K19" si="38">+J19*I19/1000</f>
        <v>178.21439999999998</v>
      </c>
    </row>
    <row r="20" spans="1:11">
      <c r="A20" s="6">
        <v>46218</v>
      </c>
      <c r="B20" s="6" t="s">
        <v>61</v>
      </c>
      <c r="C20" s="3">
        <v>1</v>
      </c>
      <c r="D20" s="4">
        <v>0.6</v>
      </c>
      <c r="E20" s="5">
        <v>1.2</v>
      </c>
      <c r="F20" s="3">
        <v>280</v>
      </c>
      <c r="G20" s="3" t="s">
        <v>13</v>
      </c>
      <c r="H20" s="3">
        <f t="shared" ref="H20" si="39">+D20*E20</f>
        <v>0.72</v>
      </c>
      <c r="I20" s="3">
        <f t="shared" ref="I20" si="40">+H20*F20</f>
        <v>201.6</v>
      </c>
      <c r="J20" s="18">
        <v>1263</v>
      </c>
      <c r="K20" s="20">
        <f t="shared" ref="K20" si="41">+J20*I20/1000</f>
        <v>254.62079999999997</v>
      </c>
    </row>
    <row r="21" spans="1:11">
      <c r="A21" s="6">
        <v>46219</v>
      </c>
      <c r="B21" s="6" t="s">
        <v>61</v>
      </c>
      <c r="C21" s="3">
        <v>1</v>
      </c>
      <c r="D21" s="4">
        <v>0.6</v>
      </c>
      <c r="E21" s="5">
        <v>1.2</v>
      </c>
      <c r="F21" s="3">
        <v>280</v>
      </c>
      <c r="G21" s="3" t="s">
        <v>13</v>
      </c>
      <c r="H21" s="3">
        <f t="shared" ref="H21" si="42">+D21*E21</f>
        <v>0.72</v>
      </c>
      <c r="I21" s="3">
        <f t="shared" ref="I21" si="43">+H21*F21</f>
        <v>201.6</v>
      </c>
      <c r="J21" s="18">
        <v>288</v>
      </c>
      <c r="K21" s="20">
        <f t="shared" ref="K21" si="44">+J21*I21/1000</f>
        <v>58.060799999999993</v>
      </c>
    </row>
    <row r="22" spans="1:11">
      <c r="A22" s="6">
        <v>46219</v>
      </c>
      <c r="B22" s="6" t="s">
        <v>92</v>
      </c>
      <c r="C22" s="3">
        <v>1</v>
      </c>
      <c r="D22" s="4">
        <v>0.6</v>
      </c>
      <c r="E22" s="5">
        <v>1.2</v>
      </c>
      <c r="F22" s="3">
        <v>280</v>
      </c>
      <c r="G22" s="3" t="s">
        <v>13</v>
      </c>
      <c r="H22" s="3">
        <f t="shared" ref="H22" si="45">+D22*E22</f>
        <v>0.72</v>
      </c>
      <c r="I22" s="3">
        <f t="shared" ref="I22" si="46">+H22*F22</f>
        <v>201.6</v>
      </c>
      <c r="J22" s="18">
        <v>900</v>
      </c>
      <c r="K22" s="20">
        <f t="shared" ref="K22" si="47">+J22*I22/1000</f>
        <v>181.44</v>
      </c>
    </row>
    <row r="23" spans="1:11">
      <c r="A23" s="6">
        <v>46220</v>
      </c>
      <c r="B23" s="6" t="s">
        <v>93</v>
      </c>
      <c r="C23" s="3">
        <v>1</v>
      </c>
      <c r="D23" s="4">
        <v>0.6</v>
      </c>
      <c r="E23" s="5">
        <v>1.2</v>
      </c>
      <c r="F23" s="3">
        <v>280</v>
      </c>
      <c r="G23" s="3" t="s">
        <v>13</v>
      </c>
      <c r="H23" s="3">
        <f t="shared" ref="H23:H24" si="48">+D23*E23</f>
        <v>0.72</v>
      </c>
      <c r="I23" s="3">
        <f t="shared" ref="I23:I24" si="49">+H23*F23</f>
        <v>201.6</v>
      </c>
      <c r="J23" s="18">
        <v>900</v>
      </c>
      <c r="K23" s="20">
        <f t="shared" ref="K23:K24" si="50">+J23*I23/1000</f>
        <v>181.44</v>
      </c>
    </row>
    <row r="24" spans="1:11">
      <c r="A24" s="6">
        <v>46220</v>
      </c>
      <c r="B24" s="6" t="s">
        <v>94</v>
      </c>
      <c r="C24" s="3">
        <v>1</v>
      </c>
      <c r="D24" s="4">
        <v>0.6</v>
      </c>
      <c r="E24" s="5">
        <v>1.2</v>
      </c>
      <c r="F24" s="3">
        <v>280</v>
      </c>
      <c r="G24" s="3" t="s">
        <v>13</v>
      </c>
      <c r="H24" s="3">
        <f t="shared" si="48"/>
        <v>0.72</v>
      </c>
      <c r="I24" s="3">
        <f t="shared" si="49"/>
        <v>201.6</v>
      </c>
      <c r="J24" s="18">
        <v>900</v>
      </c>
      <c r="K24" s="20">
        <f t="shared" si="50"/>
        <v>181.44</v>
      </c>
    </row>
    <row r="25" spans="1:11">
      <c r="A25" s="6">
        <v>46221</v>
      </c>
      <c r="B25" s="6" t="s">
        <v>95</v>
      </c>
      <c r="C25" s="3">
        <v>1</v>
      </c>
      <c r="D25" s="4">
        <v>0.6</v>
      </c>
      <c r="E25" s="5">
        <v>1.2</v>
      </c>
      <c r="F25" s="3">
        <v>280</v>
      </c>
      <c r="G25" s="3" t="s">
        <v>13</v>
      </c>
      <c r="H25" s="3">
        <f t="shared" ref="H25:H26" si="51">+D25*E25</f>
        <v>0.72</v>
      </c>
      <c r="I25" s="3">
        <f t="shared" ref="I25:I26" si="52">+H25*F25</f>
        <v>201.6</v>
      </c>
      <c r="J25" s="18">
        <v>900</v>
      </c>
      <c r="K25" s="20">
        <f t="shared" ref="K25:K26" si="53">+J25*I25/1000</f>
        <v>181.44</v>
      </c>
    </row>
    <row r="26" spans="1:11">
      <c r="A26" s="6">
        <v>46221</v>
      </c>
      <c r="B26" s="6" t="s">
        <v>57</v>
      </c>
      <c r="C26" s="3">
        <v>1</v>
      </c>
      <c r="D26" s="4">
        <v>0.6</v>
      </c>
      <c r="E26" s="5">
        <v>1.2</v>
      </c>
      <c r="F26" s="3">
        <v>280</v>
      </c>
      <c r="G26" s="3" t="s">
        <v>13</v>
      </c>
      <c r="H26" s="3">
        <f t="shared" si="51"/>
        <v>0.72</v>
      </c>
      <c r="I26" s="3">
        <f t="shared" si="52"/>
        <v>201.6</v>
      </c>
      <c r="J26" s="18">
        <v>495</v>
      </c>
      <c r="K26" s="20">
        <f t="shared" si="53"/>
        <v>99.792000000000002</v>
      </c>
    </row>
    <row r="27" spans="1:11">
      <c r="A27" s="6">
        <v>46224</v>
      </c>
      <c r="B27" s="6" t="s">
        <v>57</v>
      </c>
      <c r="C27" s="3">
        <v>1</v>
      </c>
      <c r="D27" s="4">
        <v>0.6</v>
      </c>
      <c r="E27" s="5">
        <v>1.2</v>
      </c>
      <c r="F27" s="3">
        <v>280</v>
      </c>
      <c r="G27" s="3" t="s">
        <v>13</v>
      </c>
      <c r="H27" s="3">
        <f t="shared" ref="H27:H29" si="54">+D27*E27</f>
        <v>0.72</v>
      </c>
      <c r="I27" s="3">
        <f t="shared" ref="I27:I29" si="55">+H27*F27</f>
        <v>201.6</v>
      </c>
      <c r="J27" s="18">
        <v>477</v>
      </c>
      <c r="K27" s="20">
        <f t="shared" ref="K27:K29" si="56">+J27*I27/1000</f>
        <v>96.163200000000003</v>
      </c>
    </row>
    <row r="28" spans="1:11">
      <c r="A28" s="6">
        <v>46224</v>
      </c>
      <c r="B28" s="6" t="s">
        <v>61</v>
      </c>
      <c r="C28" s="3">
        <v>1</v>
      </c>
      <c r="D28" s="4">
        <v>0.6</v>
      </c>
      <c r="E28" s="5">
        <v>1.2</v>
      </c>
      <c r="F28" s="3">
        <v>280</v>
      </c>
      <c r="G28" s="3" t="s">
        <v>13</v>
      </c>
      <c r="H28" s="3">
        <f t="shared" si="54"/>
        <v>0.72</v>
      </c>
      <c r="I28" s="3">
        <f t="shared" si="55"/>
        <v>201.6</v>
      </c>
      <c r="J28" s="18">
        <v>450</v>
      </c>
      <c r="K28" s="20">
        <f t="shared" si="56"/>
        <v>90.72</v>
      </c>
    </row>
    <row r="29" spans="1:11">
      <c r="A29" s="6">
        <v>46224</v>
      </c>
      <c r="B29" s="6" t="s">
        <v>96</v>
      </c>
      <c r="C29" s="3">
        <v>1</v>
      </c>
      <c r="D29" s="4">
        <v>0.6</v>
      </c>
      <c r="E29" s="5">
        <v>1.2</v>
      </c>
      <c r="F29" s="3">
        <v>280</v>
      </c>
      <c r="G29" s="3" t="s">
        <v>13</v>
      </c>
      <c r="H29" s="3">
        <f t="shared" si="54"/>
        <v>0.72</v>
      </c>
      <c r="I29" s="3">
        <f t="shared" si="55"/>
        <v>201.6</v>
      </c>
      <c r="J29" s="18">
        <v>315</v>
      </c>
      <c r="K29" s="20">
        <f t="shared" si="56"/>
        <v>63.503999999999998</v>
      </c>
    </row>
    <row r="30" spans="1:11">
      <c r="A30" s="6">
        <v>46225</v>
      </c>
      <c r="B30" s="6" t="s">
        <v>96</v>
      </c>
      <c r="C30" s="3">
        <v>1</v>
      </c>
      <c r="D30" s="4">
        <v>0.6</v>
      </c>
      <c r="E30" s="5">
        <v>1.2</v>
      </c>
      <c r="F30" s="3">
        <v>280</v>
      </c>
      <c r="G30" s="3" t="s">
        <v>13</v>
      </c>
      <c r="H30" s="3">
        <f t="shared" ref="H30" si="57">+D30*E30</f>
        <v>0.72</v>
      </c>
      <c r="I30" s="3">
        <f t="shared" ref="I30" si="58">+H30*F30</f>
        <v>201.6</v>
      </c>
      <c r="J30" s="18">
        <v>1686</v>
      </c>
      <c r="K30" s="20">
        <f t="shared" ref="K30" si="59">+J30*I30/1000</f>
        <v>339.89759999999995</v>
      </c>
    </row>
    <row r="31" spans="1:11">
      <c r="A31" s="6">
        <v>46225</v>
      </c>
      <c r="B31" s="6" t="s">
        <v>28</v>
      </c>
      <c r="C31" s="3">
        <v>1</v>
      </c>
      <c r="D31" s="4">
        <v>0.6</v>
      </c>
      <c r="E31" s="5">
        <v>1.2</v>
      </c>
      <c r="F31" s="3">
        <v>280</v>
      </c>
      <c r="G31" s="3" t="s">
        <v>13</v>
      </c>
      <c r="H31" s="3">
        <f t="shared" ref="H31" si="60">+D31*E31</f>
        <v>0.72</v>
      </c>
      <c r="I31" s="3">
        <f t="shared" ref="I31" si="61">+H31*F31</f>
        <v>201.6</v>
      </c>
      <c r="J31" s="18">
        <v>366</v>
      </c>
      <c r="K31" s="20">
        <f t="shared" ref="K31" si="62">+J31*I31/1000</f>
        <v>73.785599999999988</v>
      </c>
    </row>
    <row r="32" spans="1:11">
      <c r="A32" s="6">
        <v>46226</v>
      </c>
      <c r="B32" s="6" t="s">
        <v>28</v>
      </c>
      <c r="C32" s="3">
        <v>1</v>
      </c>
      <c r="D32" s="4">
        <v>0.6</v>
      </c>
      <c r="E32" s="5">
        <v>1.2</v>
      </c>
      <c r="F32" s="3">
        <v>280</v>
      </c>
      <c r="G32" s="3" t="s">
        <v>13</v>
      </c>
      <c r="H32" s="3">
        <f t="shared" ref="H32" si="63">+D32*E32</f>
        <v>0.72</v>
      </c>
      <c r="I32" s="3">
        <f t="shared" ref="I32" si="64">+H32*F32</f>
        <v>201.6</v>
      </c>
      <c r="J32" s="18">
        <v>2034</v>
      </c>
      <c r="K32" s="20">
        <f t="shared" ref="K32" si="65">+J32*I32/1000</f>
        <v>410.05439999999999</v>
      </c>
    </row>
    <row r="33" spans="1:11">
      <c r="A33" s="6">
        <v>46227</v>
      </c>
      <c r="B33" s="6" t="s">
        <v>32</v>
      </c>
      <c r="C33" s="3">
        <v>1</v>
      </c>
      <c r="D33" s="4">
        <v>0.6</v>
      </c>
      <c r="E33" s="5">
        <v>1.2</v>
      </c>
      <c r="F33" s="3">
        <v>280</v>
      </c>
      <c r="G33" s="3" t="s">
        <v>13</v>
      </c>
      <c r="H33" s="3">
        <f t="shared" ref="H33" si="66">+D33*E33</f>
        <v>0.72</v>
      </c>
      <c r="I33" s="3">
        <f t="shared" ref="I33" si="67">+H33*F33</f>
        <v>201.6</v>
      </c>
      <c r="J33" s="18">
        <v>2400</v>
      </c>
      <c r="K33" s="20">
        <f t="shared" ref="K33" si="68">+J33*I33/1000</f>
        <v>483.84</v>
      </c>
    </row>
    <row r="34" spans="1:11">
      <c r="A34" s="6">
        <v>46228</v>
      </c>
      <c r="B34" s="6" t="s">
        <v>97</v>
      </c>
      <c r="C34" s="3">
        <v>1</v>
      </c>
      <c r="D34" s="4">
        <v>0.6</v>
      </c>
      <c r="E34" s="5">
        <v>1.2</v>
      </c>
      <c r="F34" s="3">
        <v>280</v>
      </c>
      <c r="G34" s="3" t="s">
        <v>13</v>
      </c>
      <c r="H34" s="3">
        <f t="shared" ref="H34:H35" si="69">+D34*E34</f>
        <v>0.72</v>
      </c>
      <c r="I34" s="3">
        <f t="shared" ref="I34:I35" si="70">+H34*F34</f>
        <v>201.6</v>
      </c>
      <c r="J34" s="18">
        <v>1854</v>
      </c>
      <c r="K34" s="20">
        <f t="shared" ref="K34:K35" si="71">+J34*I34/1000</f>
        <v>373.76639999999998</v>
      </c>
    </row>
    <row r="35" spans="1:11">
      <c r="A35" s="6">
        <v>46230</v>
      </c>
      <c r="B35" s="3" t="s">
        <v>66</v>
      </c>
      <c r="C35" s="7">
        <v>1</v>
      </c>
      <c r="D35" s="4">
        <v>0.6</v>
      </c>
      <c r="E35" s="5">
        <v>1.2</v>
      </c>
      <c r="F35" s="3">
        <v>320</v>
      </c>
      <c r="G35" s="3" t="s">
        <v>10</v>
      </c>
      <c r="H35" s="3">
        <f t="shared" si="69"/>
        <v>0.72</v>
      </c>
      <c r="I35" s="3">
        <f t="shared" si="70"/>
        <v>230.39999999999998</v>
      </c>
      <c r="J35" s="18">
        <v>2448</v>
      </c>
      <c r="K35" s="20">
        <f t="shared" si="71"/>
        <v>564.01919999999996</v>
      </c>
    </row>
    <row r="36" spans="1:11">
      <c r="A36" s="6">
        <v>46230</v>
      </c>
      <c r="B36" s="6" t="s">
        <v>97</v>
      </c>
      <c r="C36" s="3">
        <v>1</v>
      </c>
      <c r="D36" s="4">
        <v>0.6</v>
      </c>
      <c r="E36" s="5">
        <v>1.2</v>
      </c>
      <c r="F36" s="3">
        <v>280</v>
      </c>
      <c r="G36" s="3" t="s">
        <v>13</v>
      </c>
      <c r="H36" s="3">
        <f t="shared" ref="H36" si="72">+D36*E36</f>
        <v>0.72</v>
      </c>
      <c r="I36" s="3">
        <f t="shared" ref="I36" si="73">+H36*F36</f>
        <v>201.6</v>
      </c>
      <c r="J36" s="18">
        <v>210</v>
      </c>
      <c r="K36" s="20">
        <f t="shared" ref="K36" si="74">+J36*I36/1000</f>
        <v>42.335999999999999</v>
      </c>
    </row>
    <row r="37" spans="1:11">
      <c r="A37" s="6">
        <v>46231</v>
      </c>
      <c r="B37" s="6" t="s">
        <v>97</v>
      </c>
      <c r="C37" s="3">
        <v>1</v>
      </c>
      <c r="D37" s="4">
        <v>0.6</v>
      </c>
      <c r="E37" s="5">
        <v>1.2</v>
      </c>
      <c r="F37" s="3">
        <v>280</v>
      </c>
      <c r="G37" s="3" t="s">
        <v>13</v>
      </c>
      <c r="H37" s="3">
        <f t="shared" ref="H37:H39" si="75">+D37*E37</f>
        <v>0.72</v>
      </c>
      <c r="I37" s="3">
        <f t="shared" ref="I37:I39" si="76">+H37*F37</f>
        <v>201.6</v>
      </c>
      <c r="J37" s="18">
        <v>336</v>
      </c>
      <c r="K37" s="20">
        <f t="shared" ref="K37:K39" si="77">+J37*I37/1000</f>
        <v>67.737599999999986</v>
      </c>
    </row>
    <row r="38" spans="1:11">
      <c r="A38" s="6">
        <v>46231</v>
      </c>
      <c r="B38" s="6" t="s">
        <v>101</v>
      </c>
      <c r="C38" s="3">
        <v>1</v>
      </c>
      <c r="D38" s="4">
        <v>0.6</v>
      </c>
      <c r="E38" s="5">
        <v>1.2</v>
      </c>
      <c r="F38" s="3">
        <v>280</v>
      </c>
      <c r="G38" s="3" t="s">
        <v>13</v>
      </c>
      <c r="H38" s="3">
        <f t="shared" si="75"/>
        <v>0.72</v>
      </c>
      <c r="I38" s="3">
        <f t="shared" si="76"/>
        <v>201.6</v>
      </c>
      <c r="J38" s="18">
        <v>99</v>
      </c>
      <c r="K38" s="20">
        <f t="shared" si="77"/>
        <v>19.958399999999997</v>
      </c>
    </row>
    <row r="39" spans="1:11">
      <c r="A39" s="6">
        <v>46231</v>
      </c>
      <c r="B39" s="6" t="s">
        <v>101</v>
      </c>
      <c r="C39" s="3">
        <v>1</v>
      </c>
      <c r="D39" s="4">
        <v>0.6</v>
      </c>
      <c r="E39" s="5">
        <v>1.2</v>
      </c>
      <c r="F39" s="3">
        <v>280</v>
      </c>
      <c r="G39" s="3" t="s">
        <v>13</v>
      </c>
      <c r="H39" s="3">
        <f t="shared" si="75"/>
        <v>0.72</v>
      </c>
      <c r="I39" s="3">
        <f t="shared" si="76"/>
        <v>201.6</v>
      </c>
      <c r="J39" s="18">
        <v>99</v>
      </c>
      <c r="K39" s="20">
        <f t="shared" si="77"/>
        <v>19.958399999999997</v>
      </c>
    </row>
    <row r="40" spans="1:11">
      <c r="A40" s="6">
        <v>46232</v>
      </c>
      <c r="B40" s="6" t="s">
        <v>102</v>
      </c>
      <c r="C40" s="3">
        <v>1</v>
      </c>
      <c r="D40" s="4">
        <v>0.6</v>
      </c>
      <c r="E40" s="5">
        <v>1.2</v>
      </c>
      <c r="F40" s="3">
        <v>280</v>
      </c>
      <c r="G40" s="3" t="s">
        <v>13</v>
      </c>
      <c r="H40" s="3">
        <f t="shared" ref="H40:H42" si="78">+D40*E40</f>
        <v>0.72</v>
      </c>
      <c r="I40" s="3">
        <f t="shared" ref="I40:I42" si="79">+H40*F40</f>
        <v>201.6</v>
      </c>
      <c r="J40" s="18">
        <v>99</v>
      </c>
      <c r="K40" s="20">
        <f t="shared" ref="K40:K42" si="80">+J40*I40/1000</f>
        <v>19.958399999999997</v>
      </c>
    </row>
    <row r="41" spans="1:11">
      <c r="A41" s="6">
        <v>46232</v>
      </c>
      <c r="B41" s="6" t="s">
        <v>103</v>
      </c>
      <c r="C41" s="3">
        <v>1</v>
      </c>
      <c r="D41" s="4">
        <v>0.6</v>
      </c>
      <c r="E41" s="5">
        <v>1.2</v>
      </c>
      <c r="F41" s="3">
        <v>280</v>
      </c>
      <c r="G41" s="3" t="s">
        <v>13</v>
      </c>
      <c r="H41" s="3">
        <f t="shared" si="78"/>
        <v>0.72</v>
      </c>
      <c r="I41" s="3">
        <f t="shared" si="79"/>
        <v>201.6</v>
      </c>
      <c r="J41" s="18">
        <v>99</v>
      </c>
      <c r="K41" s="20">
        <f t="shared" si="80"/>
        <v>19.958399999999997</v>
      </c>
    </row>
    <row r="42" spans="1:11">
      <c r="A42" s="6">
        <v>46232</v>
      </c>
      <c r="B42" s="3" t="s">
        <v>66</v>
      </c>
      <c r="C42" s="7">
        <v>1</v>
      </c>
      <c r="D42" s="4">
        <v>0.6</v>
      </c>
      <c r="E42" s="5">
        <v>1.2</v>
      </c>
      <c r="F42" s="3">
        <v>320</v>
      </c>
      <c r="G42" s="3" t="s">
        <v>10</v>
      </c>
      <c r="H42" s="3">
        <f t="shared" si="78"/>
        <v>0.72</v>
      </c>
      <c r="I42" s="3">
        <f t="shared" si="79"/>
        <v>230.39999999999998</v>
      </c>
      <c r="J42" s="18">
        <v>1932</v>
      </c>
      <c r="K42" s="20">
        <f t="shared" si="80"/>
        <v>445.13279999999992</v>
      </c>
    </row>
    <row r="43" spans="1:11">
      <c r="A43" s="6">
        <v>46233</v>
      </c>
      <c r="B43" s="3" t="s">
        <v>66</v>
      </c>
      <c r="C43" s="7">
        <v>1</v>
      </c>
      <c r="D43" s="4">
        <v>0.6</v>
      </c>
      <c r="E43" s="5">
        <v>1.2</v>
      </c>
      <c r="F43" s="3">
        <v>320</v>
      </c>
      <c r="G43" s="3" t="s">
        <v>10</v>
      </c>
      <c r="H43" s="3">
        <f t="shared" ref="H43:H45" si="81">+D43*E43</f>
        <v>0.72</v>
      </c>
      <c r="I43" s="3">
        <f t="shared" ref="I43:I45" si="82">+H43*F43</f>
        <v>230.39999999999998</v>
      </c>
      <c r="J43" s="18">
        <v>327</v>
      </c>
      <c r="K43" s="20">
        <f t="shared" ref="K43:K45" si="83">+J43*I43/1000</f>
        <v>75.340799999999987</v>
      </c>
    </row>
    <row r="44" spans="1:11">
      <c r="A44" s="6">
        <v>46233</v>
      </c>
      <c r="B44" s="6" t="s">
        <v>103</v>
      </c>
      <c r="C44" s="3">
        <v>1</v>
      </c>
      <c r="D44" s="4">
        <v>0.6</v>
      </c>
      <c r="E44" s="5">
        <v>1.2</v>
      </c>
      <c r="F44" s="3">
        <v>280</v>
      </c>
      <c r="G44" s="3" t="s">
        <v>13</v>
      </c>
      <c r="H44" s="3">
        <f t="shared" si="81"/>
        <v>0.72</v>
      </c>
      <c r="I44" s="3">
        <f t="shared" si="82"/>
        <v>201.6</v>
      </c>
      <c r="J44" s="18">
        <v>2000</v>
      </c>
      <c r="K44" s="20">
        <f t="shared" si="83"/>
        <v>403.2</v>
      </c>
    </row>
    <row r="45" spans="1:11">
      <c r="A45" s="6">
        <v>46234</v>
      </c>
      <c r="B45" s="6" t="s">
        <v>43</v>
      </c>
      <c r="C45" s="3">
        <v>1</v>
      </c>
      <c r="D45" s="4">
        <v>0.35</v>
      </c>
      <c r="E45" s="5">
        <v>0.6</v>
      </c>
      <c r="F45" s="3">
        <v>300</v>
      </c>
      <c r="G45" s="3" t="s">
        <v>10</v>
      </c>
      <c r="H45" s="3">
        <f t="shared" si="81"/>
        <v>0.21</v>
      </c>
      <c r="I45" s="3">
        <f t="shared" si="82"/>
        <v>63</v>
      </c>
      <c r="J45" s="18">
        <v>4310</v>
      </c>
      <c r="K45" s="20">
        <f t="shared" si="83"/>
        <v>271.52999999999997</v>
      </c>
    </row>
    <row r="46" spans="1:11">
      <c r="A46" s="6">
        <v>46234</v>
      </c>
      <c r="B46" s="6" t="s">
        <v>104</v>
      </c>
      <c r="C46" s="3">
        <v>1</v>
      </c>
      <c r="D46" s="4">
        <v>0.35</v>
      </c>
      <c r="E46" s="5">
        <v>0.6</v>
      </c>
      <c r="F46" s="3">
        <v>300</v>
      </c>
      <c r="G46" s="3" t="s">
        <v>10</v>
      </c>
      <c r="H46" s="3">
        <f t="shared" ref="H46" si="84">+D46*E46</f>
        <v>0.21</v>
      </c>
      <c r="I46" s="3">
        <f t="shared" ref="I46" si="85">+H46*F46</f>
        <v>63</v>
      </c>
      <c r="J46" s="18">
        <v>80</v>
      </c>
      <c r="K46" s="20">
        <f t="shared" ref="K46" si="86">+J46*I46/1000</f>
        <v>5.04</v>
      </c>
    </row>
    <row r="47" spans="1:11">
      <c r="A47" s="6"/>
      <c r="B47" s="6"/>
      <c r="C47" s="3"/>
      <c r="D47" s="4"/>
      <c r="E47" s="5"/>
      <c r="F47" s="3"/>
      <c r="G47" s="3"/>
      <c r="H47" s="3"/>
      <c r="I47" s="3"/>
      <c r="J47" s="18"/>
      <c r="K47" s="20"/>
    </row>
    <row r="48" spans="1:11">
      <c r="A48" s="6"/>
      <c r="B48" s="6"/>
      <c r="C48" s="3"/>
      <c r="D48" s="4"/>
      <c r="E48" s="5"/>
      <c r="F48" s="3"/>
      <c r="G48" s="3"/>
      <c r="H48" s="3"/>
      <c r="I48" s="3"/>
      <c r="J48" s="18"/>
      <c r="K48" s="20"/>
    </row>
    <row r="49" spans="1:11">
      <c r="A49" s="27" t="s">
        <v>98</v>
      </c>
      <c r="B49" s="14"/>
      <c r="C49" s="14"/>
      <c r="D49" s="14"/>
      <c r="E49" s="14"/>
      <c r="F49" s="14"/>
      <c r="G49" s="14"/>
      <c r="H49" s="14"/>
      <c r="I49" s="14"/>
      <c r="J49" s="22">
        <f>SUM(J2:J48)</f>
        <v>43013</v>
      </c>
      <c r="K49" s="25">
        <f>SUM(K2:K48)</f>
        <v>7943.1984000000029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9"/>
  <sheetViews>
    <sheetView zoomScale="90" zoomScaleNormal="90" workbookViewId="0">
      <selection activeCell="L1" sqref="L1"/>
    </sheetView>
  </sheetViews>
  <sheetFormatPr baseColWidth="10" defaultRowHeight="15"/>
  <cols>
    <col min="1" max="1" width="14.28515625" customWidth="1"/>
    <col min="2" max="2" width="27.42578125" customWidth="1"/>
    <col min="7" max="7" width="14.7109375" customWidth="1"/>
    <col min="9" max="9" width="14.28515625" customWidth="1"/>
    <col min="10" max="10" width="14.140625" customWidth="1"/>
    <col min="11" max="11" width="14.28515625" customWidth="1"/>
  </cols>
  <sheetData>
    <row r="1" spans="1:11">
      <c r="A1" s="21" t="s">
        <v>0</v>
      </c>
      <c r="B1" s="1" t="s">
        <v>1</v>
      </c>
      <c r="C1" s="1" t="s">
        <v>2</v>
      </c>
      <c r="D1" s="1" t="s">
        <v>3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6">
        <v>46235</v>
      </c>
      <c r="B2" s="6" t="s">
        <v>43</v>
      </c>
      <c r="C2" s="3">
        <v>1</v>
      </c>
      <c r="D2" s="4">
        <v>0.35</v>
      </c>
      <c r="E2" s="32">
        <v>0.6</v>
      </c>
      <c r="F2" s="3">
        <v>300</v>
      </c>
      <c r="G2" s="3" t="s">
        <v>10</v>
      </c>
      <c r="H2" s="3">
        <f t="shared" ref="H2:H3" si="0">+D2*E2</f>
        <v>0.21</v>
      </c>
      <c r="I2" s="3">
        <f t="shared" ref="I2:I3" si="1">+H2*F2</f>
        <v>63</v>
      </c>
      <c r="J2" s="18">
        <v>4140</v>
      </c>
      <c r="K2" s="20">
        <f t="shared" ref="K2:K3" si="2">+J2*I2/1000</f>
        <v>260.82</v>
      </c>
    </row>
    <row r="3" spans="1:11">
      <c r="A3" s="6">
        <v>46235</v>
      </c>
      <c r="B3" s="6" t="s">
        <v>57</v>
      </c>
      <c r="C3" s="3">
        <v>1</v>
      </c>
      <c r="D3" s="4">
        <v>0.6</v>
      </c>
      <c r="E3" s="32">
        <v>1.2</v>
      </c>
      <c r="F3" s="3">
        <v>280</v>
      </c>
      <c r="G3" s="3" t="s">
        <v>13</v>
      </c>
      <c r="H3" s="3">
        <f t="shared" si="0"/>
        <v>0.72</v>
      </c>
      <c r="I3" s="3">
        <f t="shared" si="1"/>
        <v>201.6</v>
      </c>
      <c r="J3" s="18">
        <v>480</v>
      </c>
      <c r="K3" s="20">
        <f t="shared" si="2"/>
        <v>96.768000000000001</v>
      </c>
    </row>
    <row r="4" spans="1:11">
      <c r="A4" s="6">
        <v>46237</v>
      </c>
      <c r="B4" s="6" t="s">
        <v>57</v>
      </c>
      <c r="C4" s="3">
        <v>1</v>
      </c>
      <c r="D4" s="4">
        <v>0.6</v>
      </c>
      <c r="E4" s="32">
        <v>1.2</v>
      </c>
      <c r="F4" s="3">
        <v>280</v>
      </c>
      <c r="G4" s="3" t="s">
        <v>13</v>
      </c>
      <c r="H4" s="3">
        <f t="shared" ref="H4" si="3">+D4*E4</f>
        <v>0.72</v>
      </c>
      <c r="I4" s="3">
        <f t="shared" ref="I4" si="4">+H4*F4</f>
        <v>201.6</v>
      </c>
      <c r="J4" s="18">
        <v>1920</v>
      </c>
      <c r="K4" s="20">
        <f t="shared" ref="K4" si="5">+J4*I4/1000</f>
        <v>387.072</v>
      </c>
    </row>
    <row r="5" spans="1:11">
      <c r="A5" s="6">
        <v>46238</v>
      </c>
      <c r="B5" s="6" t="s">
        <v>28</v>
      </c>
      <c r="C5" s="3">
        <v>1</v>
      </c>
      <c r="D5" s="4">
        <v>0.6</v>
      </c>
      <c r="E5" s="32">
        <v>1.2</v>
      </c>
      <c r="F5" s="3">
        <v>280</v>
      </c>
      <c r="G5" s="3" t="s">
        <v>13</v>
      </c>
      <c r="H5" s="3">
        <f t="shared" ref="H5" si="6">+D5*E5</f>
        <v>0.72</v>
      </c>
      <c r="I5" s="3">
        <f t="shared" ref="I5" si="7">+H5*F5</f>
        <v>201.6</v>
      </c>
      <c r="J5" s="18">
        <v>2310</v>
      </c>
      <c r="K5" s="20">
        <f t="shared" ref="K5" si="8">+J5*I5/1000</f>
        <v>465.69600000000003</v>
      </c>
    </row>
    <row r="6" spans="1:11">
      <c r="A6" s="6">
        <v>46239</v>
      </c>
      <c r="B6" s="6" t="s">
        <v>32</v>
      </c>
      <c r="C6" s="3">
        <v>1</v>
      </c>
      <c r="D6" s="4">
        <v>0.6</v>
      </c>
      <c r="E6" s="32">
        <v>1.2</v>
      </c>
      <c r="F6" s="3">
        <v>280</v>
      </c>
      <c r="G6" s="3" t="s">
        <v>13</v>
      </c>
      <c r="H6" s="3">
        <f t="shared" ref="H6" si="9">+D6*E6</f>
        <v>0.72</v>
      </c>
      <c r="I6" s="3">
        <f t="shared" ref="I6" si="10">+H6*F6</f>
        <v>201.6</v>
      </c>
      <c r="J6" s="18">
        <v>2400</v>
      </c>
      <c r="K6" s="20">
        <f t="shared" ref="K6" si="11">+J6*I6/1000</f>
        <v>483.84</v>
      </c>
    </row>
    <row r="7" spans="1:11">
      <c r="A7" s="6">
        <v>46240</v>
      </c>
      <c r="B7" s="6" t="s">
        <v>80</v>
      </c>
      <c r="C7" s="3">
        <v>1</v>
      </c>
      <c r="D7" s="4">
        <v>0.6</v>
      </c>
      <c r="E7" s="32">
        <v>1.2</v>
      </c>
      <c r="F7" s="3">
        <v>280</v>
      </c>
      <c r="G7" s="3" t="s">
        <v>13</v>
      </c>
      <c r="H7" s="3">
        <f t="shared" ref="H7" si="12">+D7*E7</f>
        <v>0.72</v>
      </c>
      <c r="I7" s="3">
        <f t="shared" ref="I7" si="13">+H7*F7</f>
        <v>201.6</v>
      </c>
      <c r="J7" s="18">
        <v>2400</v>
      </c>
      <c r="K7" s="20">
        <f t="shared" ref="K7:K8" si="14">+J7*I7/1000</f>
        <v>483.84</v>
      </c>
    </row>
    <row r="8" spans="1:11">
      <c r="A8" s="6">
        <v>46242</v>
      </c>
      <c r="B8" s="6" t="s">
        <v>79</v>
      </c>
      <c r="C8" s="3">
        <v>1</v>
      </c>
      <c r="D8" s="4">
        <v>0.6</v>
      </c>
      <c r="E8" s="32">
        <v>1.2</v>
      </c>
      <c r="F8" s="3">
        <v>280</v>
      </c>
      <c r="G8" s="3" t="s">
        <v>13</v>
      </c>
      <c r="H8" s="3">
        <f t="shared" ref="H8" si="15">+D8*E8</f>
        <v>0.72</v>
      </c>
      <c r="I8" s="3">
        <f t="shared" ref="I8" si="16">+H8*F8</f>
        <v>201.6</v>
      </c>
      <c r="J8" s="18">
        <v>2400</v>
      </c>
      <c r="K8" s="20">
        <f t="shared" si="14"/>
        <v>483.84</v>
      </c>
    </row>
    <row r="9" spans="1:11">
      <c r="A9" s="6">
        <v>46244</v>
      </c>
      <c r="B9" s="6" t="s">
        <v>64</v>
      </c>
      <c r="C9" s="3">
        <v>1</v>
      </c>
      <c r="D9" s="4">
        <v>0.6</v>
      </c>
      <c r="E9" s="32">
        <v>1.2</v>
      </c>
      <c r="F9" s="3">
        <v>280</v>
      </c>
      <c r="G9" s="3" t="s">
        <v>13</v>
      </c>
      <c r="H9" s="3">
        <f t="shared" ref="H9" si="17">+D9*E9</f>
        <v>0.72</v>
      </c>
      <c r="I9" s="3">
        <f t="shared" ref="I9" si="18">+H9*F9</f>
        <v>201.6</v>
      </c>
      <c r="J9" s="18">
        <v>2400</v>
      </c>
      <c r="K9" s="20">
        <f t="shared" ref="K9:K46" si="19">+J9*I9/1000</f>
        <v>483.84</v>
      </c>
    </row>
    <row r="10" spans="1:11">
      <c r="A10" s="6">
        <v>46245</v>
      </c>
      <c r="B10" s="6" t="s">
        <v>61</v>
      </c>
      <c r="C10" s="3">
        <v>1</v>
      </c>
      <c r="D10" s="4">
        <v>0.6</v>
      </c>
      <c r="E10" s="32">
        <v>1.2</v>
      </c>
      <c r="F10" s="3">
        <v>280</v>
      </c>
      <c r="G10" s="3" t="s">
        <v>13</v>
      </c>
      <c r="H10" s="3">
        <f t="shared" ref="H10" si="20">+D10*E10</f>
        <v>0.72</v>
      </c>
      <c r="I10" s="3">
        <f t="shared" ref="I10" si="21">+H10*F10</f>
        <v>201.6</v>
      </c>
      <c r="J10" s="18">
        <v>2400</v>
      </c>
      <c r="K10" s="20">
        <f t="shared" si="19"/>
        <v>483.84</v>
      </c>
    </row>
    <row r="11" spans="1:11">
      <c r="A11" s="6">
        <v>46246</v>
      </c>
      <c r="B11" s="6" t="s">
        <v>105</v>
      </c>
      <c r="C11" s="3">
        <v>1</v>
      </c>
      <c r="D11" s="4">
        <v>0.6</v>
      </c>
      <c r="E11" s="32">
        <v>1.2</v>
      </c>
      <c r="F11" s="3">
        <v>280</v>
      </c>
      <c r="G11" s="3" t="s">
        <v>13</v>
      </c>
      <c r="H11" s="3">
        <f t="shared" ref="H11" si="22">+D11*E11</f>
        <v>0.72</v>
      </c>
      <c r="I11" s="3">
        <f t="shared" ref="I11" si="23">+H11*F11</f>
        <v>201.6</v>
      </c>
      <c r="J11" s="18">
        <v>2400</v>
      </c>
      <c r="K11" s="20">
        <f t="shared" si="19"/>
        <v>483.84</v>
      </c>
    </row>
    <row r="12" spans="1:11">
      <c r="A12" s="6">
        <v>46247</v>
      </c>
      <c r="B12" s="6" t="s">
        <v>79</v>
      </c>
      <c r="C12" s="3">
        <v>1</v>
      </c>
      <c r="D12" s="4">
        <v>0.6</v>
      </c>
      <c r="E12" s="32">
        <v>1.2</v>
      </c>
      <c r="F12" s="3">
        <v>280</v>
      </c>
      <c r="G12" s="3" t="s">
        <v>13</v>
      </c>
      <c r="H12" s="3">
        <f t="shared" ref="H12:H14" si="24">+D12*E12</f>
        <v>0.72</v>
      </c>
      <c r="I12" s="3">
        <f t="shared" ref="I12:I14" si="25">+H12*F12</f>
        <v>201.6</v>
      </c>
      <c r="J12" s="18">
        <v>1200</v>
      </c>
      <c r="K12" s="20">
        <f t="shared" si="19"/>
        <v>241.92</v>
      </c>
    </row>
    <row r="13" spans="1:11">
      <c r="A13" s="6">
        <v>46247</v>
      </c>
      <c r="B13" s="6" t="s">
        <v>28</v>
      </c>
      <c r="C13" s="3">
        <v>1</v>
      </c>
      <c r="D13" s="4">
        <v>0.6</v>
      </c>
      <c r="E13" s="32">
        <v>1.2</v>
      </c>
      <c r="F13" s="3">
        <v>280</v>
      </c>
      <c r="G13" s="3" t="s">
        <v>13</v>
      </c>
      <c r="H13" s="3">
        <f t="shared" si="24"/>
        <v>0.72</v>
      </c>
      <c r="I13" s="3">
        <f t="shared" si="25"/>
        <v>201.6</v>
      </c>
      <c r="J13" s="18">
        <v>1200</v>
      </c>
      <c r="K13" s="20">
        <f t="shared" si="19"/>
        <v>241.92</v>
      </c>
    </row>
    <row r="14" spans="1:11">
      <c r="A14" s="6">
        <v>46248</v>
      </c>
      <c r="B14" s="6" t="s">
        <v>107</v>
      </c>
      <c r="C14" s="3">
        <v>1</v>
      </c>
      <c r="D14" s="4">
        <v>0.35</v>
      </c>
      <c r="E14" s="32">
        <v>0.6</v>
      </c>
      <c r="F14" s="3">
        <v>300</v>
      </c>
      <c r="G14" s="3" t="s">
        <v>10</v>
      </c>
      <c r="H14" s="3">
        <f t="shared" si="24"/>
        <v>0.21</v>
      </c>
      <c r="I14" s="3">
        <f t="shared" si="25"/>
        <v>63</v>
      </c>
      <c r="J14" s="31">
        <v>10000</v>
      </c>
      <c r="K14" s="20">
        <f t="shared" si="19"/>
        <v>630</v>
      </c>
    </row>
    <row r="15" spans="1:11">
      <c r="A15" s="6">
        <v>46252</v>
      </c>
      <c r="B15" s="6" t="s">
        <v>108</v>
      </c>
      <c r="C15" s="3">
        <v>1</v>
      </c>
      <c r="D15" s="4">
        <v>0.35</v>
      </c>
      <c r="E15" s="32">
        <v>0.6</v>
      </c>
      <c r="F15" s="3">
        <v>300</v>
      </c>
      <c r="G15" s="3" t="s">
        <v>10</v>
      </c>
      <c r="H15" s="3">
        <f t="shared" ref="H15" si="26">+D15*E15</f>
        <v>0.21</v>
      </c>
      <c r="I15" s="3">
        <f t="shared" ref="I15" si="27">+H15*F15</f>
        <v>63</v>
      </c>
      <c r="J15" s="31">
        <v>2000</v>
      </c>
      <c r="K15" s="20">
        <f>+J15*I15/1000</f>
        <v>126</v>
      </c>
    </row>
    <row r="16" spans="1:11">
      <c r="A16" s="6">
        <v>46252</v>
      </c>
      <c r="B16" s="6" t="s">
        <v>106</v>
      </c>
      <c r="C16" s="3">
        <v>1</v>
      </c>
      <c r="D16" s="4">
        <v>0.35</v>
      </c>
      <c r="E16" s="32">
        <v>0.6</v>
      </c>
      <c r="F16" s="3">
        <v>300</v>
      </c>
      <c r="G16" s="3" t="s">
        <v>10</v>
      </c>
      <c r="H16" s="3">
        <f t="shared" ref="H16:H18" si="28">+D16*E16</f>
        <v>0.21</v>
      </c>
      <c r="I16" s="3">
        <f t="shared" ref="I16:I18" si="29">+H16*F16</f>
        <v>63</v>
      </c>
      <c r="J16" s="18">
        <v>1950</v>
      </c>
      <c r="K16" s="20">
        <f t="shared" si="19"/>
        <v>122.85</v>
      </c>
    </row>
    <row r="17" spans="1:11">
      <c r="A17" s="6">
        <v>46252</v>
      </c>
      <c r="B17" s="6" t="s">
        <v>34</v>
      </c>
      <c r="C17" s="3">
        <v>1</v>
      </c>
      <c r="D17" s="4">
        <v>0.35</v>
      </c>
      <c r="E17" s="32">
        <v>0.6</v>
      </c>
      <c r="F17" s="3">
        <v>300</v>
      </c>
      <c r="G17" s="3" t="s">
        <v>10</v>
      </c>
      <c r="H17" s="3">
        <f t="shared" si="28"/>
        <v>0.21</v>
      </c>
      <c r="I17" s="3">
        <f t="shared" si="29"/>
        <v>63</v>
      </c>
      <c r="J17" s="18">
        <v>1530</v>
      </c>
      <c r="K17" s="20">
        <v>0</v>
      </c>
    </row>
    <row r="18" spans="1:11">
      <c r="A18" s="6">
        <v>46252</v>
      </c>
      <c r="B18" s="3" t="s">
        <v>66</v>
      </c>
      <c r="C18" s="7">
        <v>1</v>
      </c>
      <c r="D18" s="4">
        <v>0.6</v>
      </c>
      <c r="E18" s="32">
        <v>1.2</v>
      </c>
      <c r="F18" s="3">
        <v>280</v>
      </c>
      <c r="G18" s="3" t="s">
        <v>10</v>
      </c>
      <c r="H18" s="3">
        <f t="shared" si="28"/>
        <v>0.72</v>
      </c>
      <c r="I18" s="3">
        <f t="shared" si="29"/>
        <v>201.6</v>
      </c>
      <c r="J18" s="18">
        <v>75</v>
      </c>
      <c r="K18" s="20">
        <f t="shared" si="19"/>
        <v>15.12</v>
      </c>
    </row>
    <row r="19" spans="1:11">
      <c r="A19" s="6">
        <v>46253</v>
      </c>
      <c r="B19" s="3" t="s">
        <v>66</v>
      </c>
      <c r="C19" s="7">
        <v>1</v>
      </c>
      <c r="D19" s="4">
        <v>0.6</v>
      </c>
      <c r="E19" s="32">
        <v>1.2</v>
      </c>
      <c r="F19" s="3">
        <v>280</v>
      </c>
      <c r="G19" s="3" t="s">
        <v>10</v>
      </c>
      <c r="H19" s="3">
        <f t="shared" ref="H19:H20" si="30">+D19*E19</f>
        <v>0.72</v>
      </c>
      <c r="I19" s="3">
        <f t="shared" ref="I19:I20" si="31">+H19*F19</f>
        <v>201.6</v>
      </c>
      <c r="J19" s="18">
        <v>2205</v>
      </c>
      <c r="K19" s="20">
        <f t="shared" si="19"/>
        <v>444.52800000000002</v>
      </c>
    </row>
    <row r="20" spans="1:11">
      <c r="A20" s="6">
        <v>46253</v>
      </c>
      <c r="B20" s="6" t="s">
        <v>15</v>
      </c>
      <c r="C20" s="3">
        <v>1</v>
      </c>
      <c r="D20" s="4">
        <v>0.6</v>
      </c>
      <c r="E20" s="32">
        <v>1.2</v>
      </c>
      <c r="F20" s="3">
        <v>280</v>
      </c>
      <c r="G20" s="3" t="s">
        <v>13</v>
      </c>
      <c r="H20" s="3">
        <f t="shared" si="30"/>
        <v>0.72</v>
      </c>
      <c r="I20" s="3">
        <f t="shared" si="31"/>
        <v>201.6</v>
      </c>
      <c r="J20" s="18">
        <v>258</v>
      </c>
      <c r="K20" s="20">
        <f t="shared" ref="K20" si="32">+J20*I20/1000</f>
        <v>52.012799999999999</v>
      </c>
    </row>
    <row r="21" spans="1:11">
      <c r="A21" s="6">
        <v>46254</v>
      </c>
      <c r="B21" s="6" t="s">
        <v>15</v>
      </c>
      <c r="C21" s="3">
        <v>1</v>
      </c>
      <c r="D21" s="4">
        <v>0.6</v>
      </c>
      <c r="E21" s="32">
        <v>1.2</v>
      </c>
      <c r="F21" s="3">
        <v>280</v>
      </c>
      <c r="G21" s="3" t="s">
        <v>13</v>
      </c>
      <c r="H21" s="3">
        <f t="shared" ref="H21" si="33">+D21*E21</f>
        <v>0.72</v>
      </c>
      <c r="I21" s="3">
        <f t="shared" ref="I21" si="34">+H21*F21</f>
        <v>201.6</v>
      </c>
      <c r="J21" s="18">
        <v>1347</v>
      </c>
      <c r="K21" s="20">
        <f t="shared" si="19"/>
        <v>271.55520000000001</v>
      </c>
    </row>
    <row r="22" spans="1:11">
      <c r="A22" s="6">
        <v>46254</v>
      </c>
      <c r="B22" s="6" t="s">
        <v>109</v>
      </c>
      <c r="C22" s="3">
        <v>1</v>
      </c>
      <c r="D22" s="4">
        <v>0.6</v>
      </c>
      <c r="E22" s="32">
        <v>1.2</v>
      </c>
      <c r="F22" s="3">
        <v>280</v>
      </c>
      <c r="G22" s="3" t="s">
        <v>13</v>
      </c>
      <c r="H22" s="3">
        <f t="shared" ref="H22" si="35">+D22*E22</f>
        <v>0.72</v>
      </c>
      <c r="I22" s="3">
        <f t="shared" ref="I22" si="36">+H22*F22</f>
        <v>201.6</v>
      </c>
      <c r="J22" s="18">
        <v>624</v>
      </c>
      <c r="K22" s="20">
        <f t="shared" si="19"/>
        <v>125.7984</v>
      </c>
    </row>
    <row r="23" spans="1:11">
      <c r="A23" s="6">
        <v>46255</v>
      </c>
      <c r="B23" s="6" t="s">
        <v>109</v>
      </c>
      <c r="C23" s="3">
        <v>1</v>
      </c>
      <c r="D23" s="4">
        <v>0.6</v>
      </c>
      <c r="E23" s="32">
        <v>1.2</v>
      </c>
      <c r="F23" s="3">
        <v>280</v>
      </c>
      <c r="G23" s="3" t="s">
        <v>13</v>
      </c>
      <c r="H23" s="3">
        <f t="shared" ref="H23:H24" si="37">+D23*E23</f>
        <v>0.72</v>
      </c>
      <c r="I23" s="3">
        <f t="shared" ref="I23:I24" si="38">+H23*F23</f>
        <v>201.6</v>
      </c>
      <c r="J23" s="18">
        <v>1776</v>
      </c>
      <c r="K23" s="20">
        <f t="shared" si="19"/>
        <v>358.04159999999996</v>
      </c>
    </row>
    <row r="24" spans="1:11">
      <c r="A24" s="6">
        <v>46255</v>
      </c>
      <c r="B24" s="6" t="s">
        <v>105</v>
      </c>
      <c r="C24" s="3">
        <v>1</v>
      </c>
      <c r="D24" s="4">
        <v>0.6</v>
      </c>
      <c r="E24" s="32">
        <v>1.2</v>
      </c>
      <c r="F24" s="3">
        <v>280</v>
      </c>
      <c r="G24" s="3" t="s">
        <v>13</v>
      </c>
      <c r="H24" s="3">
        <f t="shared" si="37"/>
        <v>0.72</v>
      </c>
      <c r="I24" s="3">
        <f t="shared" si="38"/>
        <v>201.6</v>
      </c>
      <c r="J24" s="18">
        <v>270</v>
      </c>
      <c r="K24" s="20">
        <f t="shared" si="19"/>
        <v>54.432000000000002</v>
      </c>
    </row>
    <row r="25" spans="1:11">
      <c r="A25" s="6">
        <v>46259</v>
      </c>
      <c r="B25" s="6" t="s">
        <v>105</v>
      </c>
      <c r="C25" s="3">
        <v>1</v>
      </c>
      <c r="D25" s="4">
        <v>0.6</v>
      </c>
      <c r="E25" s="32">
        <v>1.2</v>
      </c>
      <c r="F25" s="3">
        <v>280</v>
      </c>
      <c r="G25" s="3" t="s">
        <v>13</v>
      </c>
      <c r="H25" s="3">
        <f t="shared" ref="H25:H26" si="39">+D25*E25</f>
        <v>0.72</v>
      </c>
      <c r="I25" s="3">
        <f t="shared" ref="I25:I26" si="40">+H25*F25</f>
        <v>201.6</v>
      </c>
      <c r="J25" s="18">
        <v>732</v>
      </c>
      <c r="K25" s="20">
        <f t="shared" si="19"/>
        <v>147.57119999999998</v>
      </c>
    </row>
    <row r="26" spans="1:11">
      <c r="A26" s="6">
        <v>46259</v>
      </c>
      <c r="B26" s="6" t="s">
        <v>29</v>
      </c>
      <c r="C26" s="3">
        <v>1</v>
      </c>
      <c r="D26" s="4">
        <v>0.6</v>
      </c>
      <c r="E26" s="32">
        <v>1.2</v>
      </c>
      <c r="F26" s="3">
        <v>280</v>
      </c>
      <c r="G26" s="3" t="s">
        <v>13</v>
      </c>
      <c r="H26" s="3">
        <f t="shared" si="39"/>
        <v>0.72</v>
      </c>
      <c r="I26" s="3">
        <f t="shared" si="40"/>
        <v>201.6</v>
      </c>
      <c r="J26" s="18">
        <v>1000</v>
      </c>
      <c r="K26" s="20">
        <f t="shared" si="19"/>
        <v>201.6</v>
      </c>
    </row>
    <row r="27" spans="1:11">
      <c r="A27" s="6">
        <v>46260</v>
      </c>
      <c r="B27" s="6" t="s">
        <v>110</v>
      </c>
      <c r="C27" s="3">
        <v>1</v>
      </c>
      <c r="D27" s="4">
        <v>0.6</v>
      </c>
      <c r="E27" s="32">
        <v>1.2</v>
      </c>
      <c r="F27" s="3">
        <v>280</v>
      </c>
      <c r="G27" s="3" t="s">
        <v>13</v>
      </c>
      <c r="H27" s="3">
        <f t="shared" ref="H27:H28" si="41">+D27*E27</f>
        <v>0.72</v>
      </c>
      <c r="I27" s="3">
        <f t="shared" ref="I27:I28" si="42">+H27*F27</f>
        <v>201.6</v>
      </c>
      <c r="J27" s="18">
        <v>90</v>
      </c>
      <c r="K27" s="20">
        <f t="shared" si="19"/>
        <v>18.143999999999998</v>
      </c>
    </row>
    <row r="28" spans="1:11">
      <c r="A28" s="6">
        <v>46260</v>
      </c>
      <c r="B28" s="6" t="s">
        <v>57</v>
      </c>
      <c r="C28" s="3">
        <v>1</v>
      </c>
      <c r="D28" s="4">
        <v>0.6</v>
      </c>
      <c r="E28" s="32">
        <v>1.2</v>
      </c>
      <c r="F28" s="3">
        <v>280</v>
      </c>
      <c r="G28" s="3" t="s">
        <v>13</v>
      </c>
      <c r="H28" s="3">
        <f t="shared" si="41"/>
        <v>0.72</v>
      </c>
      <c r="I28" s="3">
        <f t="shared" si="42"/>
        <v>201.6</v>
      </c>
      <c r="J28" s="18">
        <v>2019</v>
      </c>
      <c r="K28" s="20">
        <f t="shared" si="19"/>
        <v>407.03039999999999</v>
      </c>
    </row>
    <row r="29" spans="1:11">
      <c r="A29" s="6">
        <v>46261</v>
      </c>
      <c r="B29" s="6" t="s">
        <v>57</v>
      </c>
      <c r="C29" s="3">
        <v>1</v>
      </c>
      <c r="D29" s="4">
        <v>0.6</v>
      </c>
      <c r="E29" s="32">
        <v>1.2</v>
      </c>
      <c r="F29" s="3">
        <v>280</v>
      </c>
      <c r="G29" s="3" t="s">
        <v>13</v>
      </c>
      <c r="H29" s="3">
        <f t="shared" ref="H29:H31" si="43">+D29*E29</f>
        <v>0.72</v>
      </c>
      <c r="I29" s="3">
        <f t="shared" ref="I29:I31" si="44">+H29*F29</f>
        <v>201.6</v>
      </c>
      <c r="J29" s="18">
        <v>381</v>
      </c>
      <c r="K29" s="20">
        <f t="shared" si="19"/>
        <v>76.809599999999989</v>
      </c>
    </row>
    <row r="30" spans="1:11">
      <c r="A30" s="6">
        <v>46261</v>
      </c>
      <c r="B30" s="6" t="s">
        <v>77</v>
      </c>
      <c r="C30" s="3">
        <v>1</v>
      </c>
      <c r="D30" s="4">
        <v>0.6</v>
      </c>
      <c r="E30" s="32">
        <v>1.2</v>
      </c>
      <c r="F30" s="3">
        <v>280</v>
      </c>
      <c r="G30" s="3" t="s">
        <v>13</v>
      </c>
      <c r="H30" s="3">
        <f t="shared" si="43"/>
        <v>0.72</v>
      </c>
      <c r="I30" s="3">
        <f t="shared" si="44"/>
        <v>201.6</v>
      </c>
      <c r="J30" s="18">
        <v>1000</v>
      </c>
      <c r="K30" s="20">
        <f t="shared" si="19"/>
        <v>201.6</v>
      </c>
    </row>
    <row r="31" spans="1:11">
      <c r="A31" s="6">
        <v>46261</v>
      </c>
      <c r="B31" s="6" t="s">
        <v>75</v>
      </c>
      <c r="C31" s="3">
        <v>1</v>
      </c>
      <c r="D31" s="4">
        <v>0.6</v>
      </c>
      <c r="E31" s="32">
        <v>1.2</v>
      </c>
      <c r="F31" s="3">
        <v>280</v>
      </c>
      <c r="G31" s="3" t="s">
        <v>13</v>
      </c>
      <c r="H31" s="3">
        <f t="shared" si="43"/>
        <v>0.72</v>
      </c>
      <c r="I31" s="3">
        <f t="shared" si="44"/>
        <v>201.6</v>
      </c>
      <c r="J31" s="18">
        <v>51</v>
      </c>
      <c r="K31" s="20">
        <f t="shared" si="19"/>
        <v>10.281600000000001</v>
      </c>
    </row>
    <row r="32" spans="1:11">
      <c r="A32" s="6">
        <v>46262</v>
      </c>
      <c r="B32" s="6" t="s">
        <v>75</v>
      </c>
      <c r="C32" s="3">
        <v>1</v>
      </c>
      <c r="D32" s="4">
        <v>0.6</v>
      </c>
      <c r="E32" s="32">
        <v>1.2</v>
      </c>
      <c r="F32" s="3">
        <v>280</v>
      </c>
      <c r="G32" s="3" t="s">
        <v>13</v>
      </c>
      <c r="H32" s="3">
        <f t="shared" ref="H32:H33" si="45">+D32*E32</f>
        <v>0.72</v>
      </c>
      <c r="I32" s="3">
        <f t="shared" ref="I32:I33" si="46">+H32*F32</f>
        <v>201.6</v>
      </c>
      <c r="J32" s="18">
        <v>951</v>
      </c>
      <c r="K32" s="20">
        <f t="shared" si="19"/>
        <v>191.7216</v>
      </c>
    </row>
    <row r="33" spans="1:11">
      <c r="A33" s="6">
        <v>46262</v>
      </c>
      <c r="B33" s="6" t="s">
        <v>111</v>
      </c>
      <c r="C33" s="3">
        <v>1</v>
      </c>
      <c r="D33" s="4">
        <v>0.35</v>
      </c>
      <c r="E33" s="32">
        <v>0.6</v>
      </c>
      <c r="F33" s="3">
        <v>300</v>
      </c>
      <c r="G33" s="3" t="s">
        <v>10</v>
      </c>
      <c r="H33" s="3">
        <f t="shared" si="45"/>
        <v>0.21</v>
      </c>
      <c r="I33" s="3">
        <f t="shared" si="46"/>
        <v>63</v>
      </c>
      <c r="J33" s="18">
        <v>1530</v>
      </c>
      <c r="K33" s="20">
        <f t="shared" si="19"/>
        <v>96.39</v>
      </c>
    </row>
    <row r="34" spans="1:11">
      <c r="A34" s="6">
        <v>46263</v>
      </c>
      <c r="B34" s="6" t="s">
        <v>111</v>
      </c>
      <c r="C34" s="3">
        <v>1</v>
      </c>
      <c r="D34" s="4">
        <v>0.35</v>
      </c>
      <c r="E34" s="32">
        <v>0.6</v>
      </c>
      <c r="F34" s="3">
        <v>300</v>
      </c>
      <c r="G34" s="3" t="s">
        <v>10</v>
      </c>
      <c r="H34" s="3">
        <f t="shared" ref="H34" si="47">+D34*E34</f>
        <v>0.21</v>
      </c>
      <c r="I34" s="3">
        <f t="shared" ref="I34" si="48">+H34*F34</f>
        <v>63</v>
      </c>
      <c r="J34" s="18">
        <v>895</v>
      </c>
      <c r="K34" s="20">
        <f t="shared" si="19"/>
        <v>56.384999999999998</v>
      </c>
    </row>
    <row r="35" spans="1:11">
      <c r="A35" s="6"/>
      <c r="B35" s="3"/>
      <c r="C35" s="7"/>
      <c r="D35" s="4"/>
      <c r="E35" s="5"/>
      <c r="F35" s="3"/>
      <c r="G35" s="3"/>
      <c r="H35" s="3"/>
      <c r="I35" s="3"/>
      <c r="J35" s="18"/>
      <c r="K35" s="20">
        <f t="shared" si="19"/>
        <v>0</v>
      </c>
    </row>
    <row r="36" spans="1:11">
      <c r="A36" s="6"/>
      <c r="B36" s="6"/>
      <c r="C36" s="3"/>
      <c r="D36" s="4"/>
      <c r="E36" s="5"/>
      <c r="F36" s="3"/>
      <c r="G36" s="3"/>
      <c r="H36" s="3"/>
      <c r="I36" s="3"/>
      <c r="J36" s="18"/>
      <c r="K36" s="20">
        <f t="shared" si="19"/>
        <v>0</v>
      </c>
    </row>
    <row r="37" spans="1:11">
      <c r="A37" s="6"/>
      <c r="B37" s="6"/>
      <c r="C37" s="3"/>
      <c r="D37" s="4"/>
      <c r="E37" s="5"/>
      <c r="F37" s="3"/>
      <c r="G37" s="3"/>
      <c r="H37" s="3"/>
      <c r="I37" s="3"/>
      <c r="J37" s="18"/>
      <c r="K37" s="20">
        <f t="shared" si="19"/>
        <v>0</v>
      </c>
    </row>
    <row r="38" spans="1:11">
      <c r="A38" s="6"/>
      <c r="B38" s="6"/>
      <c r="C38" s="3"/>
      <c r="D38" s="4"/>
      <c r="E38" s="5"/>
      <c r="F38" s="3"/>
      <c r="G38" s="3"/>
      <c r="H38" s="3"/>
      <c r="I38" s="3"/>
      <c r="J38" s="18"/>
      <c r="K38" s="20">
        <f t="shared" si="19"/>
        <v>0</v>
      </c>
    </row>
    <row r="39" spans="1:11">
      <c r="A39" s="6"/>
      <c r="B39" s="6"/>
      <c r="C39" s="3"/>
      <c r="D39" s="4"/>
      <c r="E39" s="5"/>
      <c r="F39" s="3"/>
      <c r="G39" s="3"/>
      <c r="H39" s="3"/>
      <c r="I39" s="3"/>
      <c r="J39" s="18"/>
      <c r="K39" s="20">
        <f t="shared" si="19"/>
        <v>0</v>
      </c>
    </row>
    <row r="40" spans="1:11">
      <c r="A40" s="6"/>
      <c r="B40" s="6"/>
      <c r="C40" s="3"/>
      <c r="D40" s="4"/>
      <c r="E40" s="5"/>
      <c r="F40" s="3"/>
      <c r="G40" s="3"/>
      <c r="H40" s="3"/>
      <c r="I40" s="3"/>
      <c r="J40" s="18"/>
      <c r="K40" s="20">
        <f t="shared" si="19"/>
        <v>0</v>
      </c>
    </row>
    <row r="41" spans="1:11">
      <c r="A41" s="6"/>
      <c r="B41" s="6"/>
      <c r="C41" s="3"/>
      <c r="D41" s="4"/>
      <c r="E41" s="5"/>
      <c r="F41" s="3"/>
      <c r="G41" s="3"/>
      <c r="H41" s="3"/>
      <c r="I41" s="3"/>
      <c r="J41" s="18"/>
      <c r="K41" s="20">
        <f t="shared" si="19"/>
        <v>0</v>
      </c>
    </row>
    <row r="42" spans="1:11">
      <c r="A42" s="6"/>
      <c r="B42" s="3"/>
      <c r="C42" s="7"/>
      <c r="D42" s="4"/>
      <c r="E42" s="5"/>
      <c r="F42" s="3"/>
      <c r="G42" s="3"/>
      <c r="H42" s="3"/>
      <c r="I42" s="3"/>
      <c r="J42" s="18"/>
      <c r="K42" s="20">
        <f t="shared" si="19"/>
        <v>0</v>
      </c>
    </row>
    <row r="43" spans="1:11">
      <c r="A43" s="6"/>
      <c r="B43" s="3"/>
      <c r="C43" s="7"/>
      <c r="D43" s="4"/>
      <c r="E43" s="5"/>
      <c r="F43" s="3"/>
      <c r="G43" s="3"/>
      <c r="H43" s="3"/>
      <c r="I43" s="3"/>
      <c r="J43" s="18"/>
      <c r="K43" s="20">
        <f t="shared" si="19"/>
        <v>0</v>
      </c>
    </row>
    <row r="44" spans="1:11">
      <c r="A44" s="6"/>
      <c r="B44" s="6"/>
      <c r="C44" s="3"/>
      <c r="D44" s="4"/>
      <c r="E44" s="5"/>
      <c r="F44" s="3"/>
      <c r="G44" s="3"/>
      <c r="H44" s="3"/>
      <c r="I44" s="3"/>
      <c r="J44" s="18"/>
      <c r="K44" s="20">
        <f t="shared" si="19"/>
        <v>0</v>
      </c>
    </row>
    <row r="45" spans="1:11">
      <c r="A45" s="6"/>
      <c r="B45" s="6"/>
      <c r="C45" s="3"/>
      <c r="D45" s="4"/>
      <c r="E45" s="5"/>
      <c r="F45" s="3"/>
      <c r="G45" s="3"/>
      <c r="H45" s="3"/>
      <c r="I45" s="3"/>
      <c r="J45" s="18"/>
      <c r="K45" s="20">
        <f t="shared" si="19"/>
        <v>0</v>
      </c>
    </row>
    <row r="46" spans="1:11">
      <c r="A46" s="6"/>
      <c r="B46" s="6"/>
      <c r="C46" s="3"/>
      <c r="D46" s="4"/>
      <c r="E46" s="5"/>
      <c r="F46" s="3"/>
      <c r="G46" s="3"/>
      <c r="H46" s="3"/>
      <c r="I46" s="3"/>
      <c r="J46" s="18"/>
      <c r="K46" s="20">
        <f t="shared" si="19"/>
        <v>0</v>
      </c>
    </row>
    <row r="47" spans="1:11">
      <c r="A47" s="6"/>
      <c r="B47" s="6"/>
      <c r="C47" s="3"/>
      <c r="D47" s="4"/>
      <c r="E47" s="5"/>
      <c r="F47" s="3"/>
      <c r="G47" s="3"/>
      <c r="H47" s="3"/>
      <c r="I47" s="3"/>
      <c r="J47" s="18"/>
      <c r="K47" s="20"/>
    </row>
    <row r="48" spans="1:11">
      <c r="A48" s="6"/>
      <c r="B48" s="6"/>
      <c r="C48" s="3"/>
      <c r="D48" s="4"/>
      <c r="E48" s="5"/>
      <c r="F48" s="3"/>
      <c r="G48" s="3"/>
      <c r="H48" s="3"/>
      <c r="I48" s="3"/>
      <c r="J48" s="18"/>
      <c r="K48" s="20"/>
    </row>
    <row r="49" spans="1:11">
      <c r="A49" s="27" t="s">
        <v>98</v>
      </c>
      <c r="B49" s="14"/>
      <c r="C49" s="14"/>
      <c r="D49" s="14"/>
      <c r="E49" s="14"/>
      <c r="F49" s="14"/>
      <c r="G49" s="14"/>
      <c r="H49" s="14"/>
      <c r="I49" s="14"/>
      <c r="J49" s="22">
        <f>SUM(J2:J48)</f>
        <v>56334</v>
      </c>
      <c r="K49" s="25">
        <f>SUM(K2:K48)</f>
        <v>8205.1074000000008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7"/>
  <sheetViews>
    <sheetView tabSelected="1" zoomScale="90" zoomScaleNormal="90" workbookViewId="0">
      <selection activeCell="J34" sqref="J34"/>
    </sheetView>
  </sheetViews>
  <sheetFormatPr baseColWidth="10" defaultRowHeight="15"/>
  <cols>
    <col min="1" max="1" width="14.28515625" customWidth="1"/>
    <col min="2" max="2" width="27.42578125" customWidth="1"/>
    <col min="7" max="7" width="14.7109375" customWidth="1"/>
    <col min="9" max="9" width="14.28515625" customWidth="1"/>
    <col min="10" max="10" width="14.140625" customWidth="1"/>
    <col min="11" max="11" width="14.28515625" customWidth="1"/>
  </cols>
  <sheetData>
    <row r="1" spans="1:11">
      <c r="A1" s="21" t="s">
        <v>0</v>
      </c>
      <c r="B1" s="1" t="s">
        <v>1</v>
      </c>
      <c r="C1" s="1" t="s">
        <v>2</v>
      </c>
      <c r="D1" s="1" t="s">
        <v>3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6">
        <v>46266</v>
      </c>
      <c r="B2" s="6" t="s">
        <v>111</v>
      </c>
      <c r="C2" s="3">
        <v>1</v>
      </c>
      <c r="D2" s="4">
        <v>0.35</v>
      </c>
      <c r="E2" s="32">
        <v>0.6</v>
      </c>
      <c r="F2" s="3">
        <v>300</v>
      </c>
      <c r="G2" s="3" t="s">
        <v>10</v>
      </c>
      <c r="H2" s="3">
        <f t="shared" ref="H2" si="0">+D2*E2</f>
        <v>0.21</v>
      </c>
      <c r="I2" s="3">
        <f t="shared" ref="I2" si="1">+H2*F2</f>
        <v>63</v>
      </c>
      <c r="J2" s="18">
        <v>5415</v>
      </c>
      <c r="K2" s="20">
        <f t="shared" ref="K2" si="2">+J2*I2/1000</f>
        <v>341.14499999999998</v>
      </c>
    </row>
    <row r="3" spans="1:11">
      <c r="A3" s="6">
        <v>46267</v>
      </c>
      <c r="B3" s="6" t="s">
        <v>111</v>
      </c>
      <c r="C3" s="3">
        <v>1</v>
      </c>
      <c r="D3" s="4">
        <v>0.35</v>
      </c>
      <c r="E3" s="32">
        <v>0.6</v>
      </c>
      <c r="F3" s="3">
        <v>300</v>
      </c>
      <c r="G3" s="3" t="s">
        <v>10</v>
      </c>
      <c r="H3" s="3">
        <f t="shared" ref="H3:H5" si="3">+D3*E3</f>
        <v>0.21</v>
      </c>
      <c r="I3" s="3">
        <f t="shared" ref="I3:I5" si="4">+H3*F3</f>
        <v>63</v>
      </c>
      <c r="J3" s="18">
        <v>3500</v>
      </c>
      <c r="K3" s="20">
        <f t="shared" ref="K3:K5" si="5">+J3*I3/1000</f>
        <v>220.5</v>
      </c>
    </row>
    <row r="4" spans="1:11">
      <c r="A4" s="6">
        <v>46267</v>
      </c>
      <c r="B4" s="6" t="s">
        <v>102</v>
      </c>
      <c r="C4" s="3">
        <v>1</v>
      </c>
      <c r="D4" s="4">
        <v>0.6</v>
      </c>
      <c r="E4" s="32">
        <v>1.2</v>
      </c>
      <c r="F4" s="3">
        <v>280</v>
      </c>
      <c r="G4" s="3" t="s">
        <v>13</v>
      </c>
      <c r="H4" s="3">
        <f t="shared" si="3"/>
        <v>0.72</v>
      </c>
      <c r="I4" s="3">
        <f t="shared" si="4"/>
        <v>201.6</v>
      </c>
      <c r="J4" s="18">
        <v>960</v>
      </c>
      <c r="K4" s="20">
        <f t="shared" si="5"/>
        <v>193.536</v>
      </c>
    </row>
    <row r="5" spans="1:11">
      <c r="A5" s="6">
        <v>46268</v>
      </c>
      <c r="B5" s="3" t="s">
        <v>66</v>
      </c>
      <c r="C5" s="7">
        <v>1</v>
      </c>
      <c r="D5" s="4">
        <v>0.6</v>
      </c>
      <c r="E5" s="32">
        <v>1.2</v>
      </c>
      <c r="F5" s="3">
        <v>280</v>
      </c>
      <c r="G5" s="3" t="s">
        <v>10</v>
      </c>
      <c r="H5" s="3">
        <f t="shared" si="3"/>
        <v>0.72</v>
      </c>
      <c r="I5" s="3">
        <f t="shared" si="4"/>
        <v>201.6</v>
      </c>
      <c r="J5" s="18">
        <v>2400</v>
      </c>
      <c r="K5" s="20">
        <f t="shared" si="5"/>
        <v>483.84</v>
      </c>
    </row>
    <row r="6" spans="1:11">
      <c r="A6" s="6">
        <v>46269</v>
      </c>
      <c r="B6" s="6" t="s">
        <v>64</v>
      </c>
      <c r="C6" s="3">
        <v>1</v>
      </c>
      <c r="D6" s="4">
        <v>0.6</v>
      </c>
      <c r="E6" s="32">
        <v>1.2</v>
      </c>
      <c r="F6" s="3">
        <v>280</v>
      </c>
      <c r="G6" s="3" t="s">
        <v>13</v>
      </c>
      <c r="H6" s="3">
        <f t="shared" ref="H6" si="6">+D6*E6</f>
        <v>0.72</v>
      </c>
      <c r="I6" s="3">
        <f t="shared" ref="I6" si="7">+H6*F6</f>
        <v>201.6</v>
      </c>
      <c r="J6" s="18">
        <v>984</v>
      </c>
      <c r="K6" s="20">
        <f t="shared" ref="K6" si="8">+J6*I6/1000</f>
        <v>198.37439999999998</v>
      </c>
    </row>
    <row r="7" spans="1:11">
      <c r="A7" s="6">
        <v>46270</v>
      </c>
      <c r="B7" s="6" t="s">
        <v>64</v>
      </c>
      <c r="C7" s="3">
        <v>1</v>
      </c>
      <c r="D7" s="4">
        <v>0.6</v>
      </c>
      <c r="E7" s="32">
        <v>1.2</v>
      </c>
      <c r="F7" s="3">
        <v>280</v>
      </c>
      <c r="G7" s="3" t="s">
        <v>13</v>
      </c>
      <c r="H7" s="3">
        <f t="shared" ref="H7:H8" si="9">+D7*E7</f>
        <v>0.72</v>
      </c>
      <c r="I7" s="3">
        <f t="shared" ref="I7:I8" si="10">+H7*F7</f>
        <v>201.6</v>
      </c>
      <c r="J7" s="18">
        <v>1416</v>
      </c>
      <c r="K7" s="20">
        <f t="shared" ref="K7:K8" si="11">+J7*I7/1000</f>
        <v>285.46559999999999</v>
      </c>
    </row>
    <row r="8" spans="1:11">
      <c r="A8" s="6">
        <v>46270</v>
      </c>
      <c r="B8" s="6" t="s">
        <v>65</v>
      </c>
      <c r="C8" s="3">
        <v>1</v>
      </c>
      <c r="D8" s="4">
        <v>0.6</v>
      </c>
      <c r="E8" s="32">
        <v>1.2</v>
      </c>
      <c r="F8" s="3">
        <v>280</v>
      </c>
      <c r="G8" s="3" t="s">
        <v>13</v>
      </c>
      <c r="H8" s="3">
        <f t="shared" si="9"/>
        <v>0.72</v>
      </c>
      <c r="I8" s="3">
        <f t="shared" si="10"/>
        <v>201.6</v>
      </c>
      <c r="J8" s="18">
        <v>108</v>
      </c>
      <c r="K8" s="20">
        <f t="shared" si="11"/>
        <v>21.7728</v>
      </c>
    </row>
    <row r="9" spans="1:11">
      <c r="A9" s="6">
        <v>46273</v>
      </c>
      <c r="B9" s="6" t="s">
        <v>65</v>
      </c>
      <c r="C9" s="3">
        <v>1</v>
      </c>
      <c r="D9" s="4">
        <v>0.6</v>
      </c>
      <c r="E9" s="32">
        <v>1.2</v>
      </c>
      <c r="F9" s="3">
        <v>280</v>
      </c>
      <c r="G9" s="3" t="s">
        <v>13</v>
      </c>
      <c r="H9" s="3">
        <f t="shared" ref="H9" si="12">+D9*E9</f>
        <v>0.72</v>
      </c>
      <c r="I9" s="3">
        <f t="shared" ref="I9" si="13">+H9*F9</f>
        <v>201.6</v>
      </c>
      <c r="J9" s="18">
        <v>1482</v>
      </c>
      <c r="K9" s="20">
        <f t="shared" ref="K9" si="14">+J9*I9/1000</f>
        <v>298.77120000000002</v>
      </c>
    </row>
    <row r="10" spans="1:11">
      <c r="A10" s="6">
        <v>46274</v>
      </c>
      <c r="B10" s="6" t="s">
        <v>65</v>
      </c>
      <c r="C10" s="3">
        <v>1</v>
      </c>
      <c r="D10" s="4">
        <v>0.6</v>
      </c>
      <c r="E10" s="32">
        <v>1.2</v>
      </c>
      <c r="F10" s="3">
        <v>280</v>
      </c>
      <c r="G10" s="3" t="s">
        <v>13</v>
      </c>
      <c r="H10" s="3">
        <f t="shared" ref="H10:H11" si="15">+D10*E10</f>
        <v>0.72</v>
      </c>
      <c r="I10" s="3">
        <f t="shared" ref="I10:I11" si="16">+H10*F10</f>
        <v>201.6</v>
      </c>
      <c r="J10" s="18">
        <v>810</v>
      </c>
      <c r="K10" s="20">
        <f t="shared" ref="K10:K11" si="17">+J10*I10/1000</f>
        <v>163.29599999999999</v>
      </c>
    </row>
    <row r="11" spans="1:11">
      <c r="A11" s="6">
        <v>46274</v>
      </c>
      <c r="B11" s="6" t="s">
        <v>109</v>
      </c>
      <c r="C11" s="3">
        <v>1</v>
      </c>
      <c r="D11" s="4">
        <v>0.6</v>
      </c>
      <c r="E11" s="32">
        <v>1.2</v>
      </c>
      <c r="F11" s="3">
        <v>280</v>
      </c>
      <c r="G11" s="3" t="s">
        <v>13</v>
      </c>
      <c r="H11" s="3">
        <f t="shared" si="15"/>
        <v>0.72</v>
      </c>
      <c r="I11" s="3">
        <f t="shared" si="16"/>
        <v>201.6</v>
      </c>
      <c r="J11" s="18">
        <v>882</v>
      </c>
      <c r="K11" s="20">
        <f t="shared" si="17"/>
        <v>177.81119999999999</v>
      </c>
    </row>
    <row r="12" spans="1:11">
      <c r="A12" s="6">
        <v>46275</v>
      </c>
      <c r="B12" s="6" t="s">
        <v>109</v>
      </c>
      <c r="C12" s="3">
        <v>1</v>
      </c>
      <c r="D12" s="4">
        <v>0.6</v>
      </c>
      <c r="E12" s="32">
        <v>1.2</v>
      </c>
      <c r="F12" s="3">
        <v>280</v>
      </c>
      <c r="G12" s="3" t="s">
        <v>13</v>
      </c>
      <c r="H12" s="3">
        <f t="shared" ref="H12" si="18">+D12*E12</f>
        <v>0.72</v>
      </c>
      <c r="I12" s="3">
        <f t="shared" ref="I12" si="19">+H12*F12</f>
        <v>201.6</v>
      </c>
      <c r="J12" s="18">
        <v>2718</v>
      </c>
      <c r="K12" s="20">
        <f t="shared" ref="K12" si="20">+J12*I12/1000</f>
        <v>547.94879999999989</v>
      </c>
    </row>
    <row r="13" spans="1:11">
      <c r="A13" s="6">
        <v>46276</v>
      </c>
      <c r="B13" s="6" t="s">
        <v>79</v>
      </c>
      <c r="C13" s="3">
        <v>1</v>
      </c>
      <c r="D13" s="4">
        <v>0.6</v>
      </c>
      <c r="E13" s="32">
        <v>1.2</v>
      </c>
      <c r="F13" s="3">
        <v>280</v>
      </c>
      <c r="G13" s="3" t="s">
        <v>13</v>
      </c>
      <c r="H13" s="3">
        <f t="shared" ref="H13" si="21">+D13*E13</f>
        <v>0.72</v>
      </c>
      <c r="I13" s="3">
        <f t="shared" ref="I13" si="22">+H13*F13</f>
        <v>201.6</v>
      </c>
      <c r="J13" s="18">
        <v>2400</v>
      </c>
      <c r="K13" s="20">
        <f t="shared" ref="K13" si="23">+J13*I13/1000</f>
        <v>483.84</v>
      </c>
    </row>
    <row r="14" spans="1:11">
      <c r="A14" s="6">
        <v>46277</v>
      </c>
      <c r="B14" s="6" t="s">
        <v>50</v>
      </c>
      <c r="C14" s="3">
        <v>1</v>
      </c>
      <c r="D14" s="4">
        <v>0.6</v>
      </c>
      <c r="E14" s="32">
        <v>1.2</v>
      </c>
      <c r="F14" s="3">
        <v>280</v>
      </c>
      <c r="G14" s="3" t="s">
        <v>13</v>
      </c>
      <c r="H14" s="3">
        <f t="shared" ref="H14:H15" si="24">+D14*E14</f>
        <v>0.72</v>
      </c>
      <c r="I14" s="3">
        <f t="shared" ref="I14:I15" si="25">+H14*F14</f>
        <v>201.6</v>
      </c>
      <c r="J14" s="18">
        <v>2400</v>
      </c>
      <c r="K14" s="20">
        <f t="shared" ref="K14:K15" si="26">+J14*I14/1000</f>
        <v>483.84</v>
      </c>
    </row>
    <row r="15" spans="1:11">
      <c r="A15" s="6">
        <v>46279</v>
      </c>
      <c r="B15" s="6" t="s">
        <v>111</v>
      </c>
      <c r="C15" s="3">
        <v>1</v>
      </c>
      <c r="D15" s="4">
        <v>0.35</v>
      </c>
      <c r="E15" s="32">
        <v>0.6</v>
      </c>
      <c r="F15" s="3">
        <v>300</v>
      </c>
      <c r="G15" s="3" t="s">
        <v>10</v>
      </c>
      <c r="H15" s="3">
        <f t="shared" si="24"/>
        <v>0.21</v>
      </c>
      <c r="I15" s="3">
        <f t="shared" si="25"/>
        <v>63</v>
      </c>
      <c r="J15" s="18">
        <v>9000</v>
      </c>
      <c r="K15" s="20">
        <f t="shared" si="26"/>
        <v>567</v>
      </c>
    </row>
    <row r="16" spans="1:11">
      <c r="A16" s="6">
        <v>46280</v>
      </c>
      <c r="B16" s="6" t="s">
        <v>111</v>
      </c>
      <c r="C16" s="3">
        <v>1</v>
      </c>
      <c r="D16" s="4">
        <v>0.35</v>
      </c>
      <c r="E16" s="32">
        <v>0.6</v>
      </c>
      <c r="F16" s="3">
        <v>300</v>
      </c>
      <c r="G16" s="3" t="s">
        <v>10</v>
      </c>
      <c r="H16" s="3">
        <f t="shared" ref="H16" si="27">+D16*E16</f>
        <v>0.21</v>
      </c>
      <c r="I16" s="3">
        <f t="shared" ref="I16" si="28">+H16*F16</f>
        <v>63</v>
      </c>
      <c r="J16" s="18">
        <v>3030</v>
      </c>
      <c r="K16" s="20">
        <f t="shared" ref="K16" si="29">+J16*I16/1000</f>
        <v>190.89</v>
      </c>
    </row>
    <row r="17" spans="1:11">
      <c r="A17" s="6">
        <v>46280</v>
      </c>
      <c r="B17" s="6" t="s">
        <v>112</v>
      </c>
      <c r="C17" s="3">
        <v>1</v>
      </c>
      <c r="D17" s="4">
        <v>0.3</v>
      </c>
      <c r="E17" s="32">
        <v>0.5</v>
      </c>
      <c r="F17" s="3">
        <v>300</v>
      </c>
      <c r="G17" s="3" t="s">
        <v>10</v>
      </c>
      <c r="H17" s="3">
        <f t="shared" ref="H17" si="30">+D17*E17</f>
        <v>0.15</v>
      </c>
      <c r="I17" s="3">
        <f t="shared" ref="I17" si="31">+H17*F17</f>
        <v>45</v>
      </c>
      <c r="J17" s="18">
        <v>540</v>
      </c>
      <c r="K17" s="20">
        <f t="shared" ref="K17" si="32">+J17*I17/1000</f>
        <v>24.3</v>
      </c>
    </row>
    <row r="18" spans="1:11">
      <c r="A18" s="6">
        <v>46281</v>
      </c>
      <c r="B18" s="6" t="s">
        <v>112</v>
      </c>
      <c r="C18" s="3">
        <v>1</v>
      </c>
      <c r="D18" s="4">
        <v>0.3</v>
      </c>
      <c r="E18" s="32">
        <v>0.5</v>
      </c>
      <c r="F18" s="3">
        <v>300</v>
      </c>
      <c r="G18" s="3" t="s">
        <v>10</v>
      </c>
      <c r="H18" s="3">
        <f t="shared" ref="H18" si="33">+D18*E18</f>
        <v>0.15</v>
      </c>
      <c r="I18" s="3">
        <f t="shared" ref="I18" si="34">+H18*F18</f>
        <v>45</v>
      </c>
      <c r="J18" s="18">
        <v>9162</v>
      </c>
      <c r="K18" s="20">
        <f t="shared" ref="K18" si="35">+J18*I18/1000</f>
        <v>412.29</v>
      </c>
    </row>
    <row r="19" spans="1:11">
      <c r="A19" s="6">
        <v>46282</v>
      </c>
      <c r="B19" s="6" t="s">
        <v>112</v>
      </c>
      <c r="C19" s="3">
        <v>1</v>
      </c>
      <c r="D19" s="4">
        <v>0.3</v>
      </c>
      <c r="E19" s="32">
        <v>0.5</v>
      </c>
      <c r="F19" s="3">
        <v>300</v>
      </c>
      <c r="G19" s="3" t="s">
        <v>10</v>
      </c>
      <c r="H19" s="3">
        <f t="shared" ref="H19" si="36">+D19*E19</f>
        <v>0.15</v>
      </c>
      <c r="I19" s="3">
        <f t="shared" ref="I19" si="37">+H19*F19</f>
        <v>45</v>
      </c>
      <c r="J19" s="18">
        <v>3300</v>
      </c>
      <c r="K19" s="20">
        <f t="shared" ref="K19" si="38">+J19*I19/1000</f>
        <v>148.5</v>
      </c>
    </row>
    <row r="20" spans="1:11">
      <c r="A20" s="6">
        <v>46282</v>
      </c>
      <c r="B20" s="6" t="s">
        <v>24</v>
      </c>
      <c r="C20" s="3">
        <v>1</v>
      </c>
      <c r="D20" s="4">
        <v>0.3</v>
      </c>
      <c r="E20" s="32">
        <v>0.5</v>
      </c>
      <c r="F20" s="3">
        <v>300</v>
      </c>
      <c r="G20" s="3" t="s">
        <v>10</v>
      </c>
      <c r="H20" s="3">
        <f t="shared" ref="H20" si="39">+D20*E20</f>
        <v>0.15</v>
      </c>
      <c r="I20" s="3">
        <f t="shared" ref="I20" si="40">+H20*F20</f>
        <v>45</v>
      </c>
      <c r="J20" s="18">
        <v>3600</v>
      </c>
      <c r="K20" s="20">
        <f t="shared" ref="K20" si="41">+J20*I20/1000</f>
        <v>162</v>
      </c>
    </row>
    <row r="21" spans="1:11">
      <c r="A21" s="6">
        <v>46283</v>
      </c>
      <c r="B21" s="6" t="s">
        <v>113</v>
      </c>
      <c r="C21" s="3">
        <v>1</v>
      </c>
      <c r="D21" s="4">
        <v>0.3</v>
      </c>
      <c r="E21" s="32">
        <v>0.5</v>
      </c>
      <c r="F21" s="3">
        <v>300</v>
      </c>
      <c r="G21" s="3" t="s">
        <v>10</v>
      </c>
      <c r="H21" s="3">
        <f t="shared" ref="H21:H22" si="42">+D21*E21</f>
        <v>0.15</v>
      </c>
      <c r="I21" s="3">
        <f t="shared" ref="I21:I22" si="43">+H21*F21</f>
        <v>45</v>
      </c>
      <c r="J21" s="18">
        <v>3036</v>
      </c>
      <c r="K21" s="20">
        <f t="shared" ref="K21:K22" si="44">+J21*I21/1000</f>
        <v>136.62</v>
      </c>
    </row>
    <row r="22" spans="1:11">
      <c r="A22" s="6">
        <v>46283</v>
      </c>
      <c r="B22" s="6" t="s">
        <v>28</v>
      </c>
      <c r="C22" s="3">
        <v>1</v>
      </c>
      <c r="D22" s="4">
        <v>0.6</v>
      </c>
      <c r="E22" s="32">
        <v>1.2</v>
      </c>
      <c r="F22" s="3">
        <v>280</v>
      </c>
      <c r="G22" s="3" t="s">
        <v>13</v>
      </c>
      <c r="H22" s="3">
        <f t="shared" si="42"/>
        <v>0.72</v>
      </c>
      <c r="I22" s="3">
        <f t="shared" si="43"/>
        <v>201.6</v>
      </c>
      <c r="J22" s="18">
        <v>1200</v>
      </c>
      <c r="K22" s="20">
        <f t="shared" si="44"/>
        <v>241.92</v>
      </c>
    </row>
    <row r="23" spans="1:11">
      <c r="A23" s="6">
        <v>46284</v>
      </c>
      <c r="B23" s="6" t="s">
        <v>28</v>
      </c>
      <c r="C23" s="3">
        <v>1</v>
      </c>
      <c r="D23" s="4">
        <v>0.6</v>
      </c>
      <c r="E23" s="32">
        <v>1.2</v>
      </c>
      <c r="F23" s="3">
        <v>280</v>
      </c>
      <c r="G23" s="3" t="s">
        <v>13</v>
      </c>
      <c r="H23" s="3">
        <f t="shared" ref="H23" si="45">+D23*E23</f>
        <v>0.72</v>
      </c>
      <c r="I23" s="3">
        <f t="shared" ref="I23" si="46">+H23*F23</f>
        <v>201.6</v>
      </c>
      <c r="J23" s="18">
        <v>1200</v>
      </c>
      <c r="K23" s="20">
        <f t="shared" ref="K23" si="47">+J23*I23/1000</f>
        <v>241.92</v>
      </c>
    </row>
    <row r="24" spans="1:11">
      <c r="A24" s="6">
        <v>46287</v>
      </c>
      <c r="B24" s="6" t="s">
        <v>29</v>
      </c>
      <c r="C24" s="3">
        <v>1</v>
      </c>
      <c r="D24" s="4">
        <v>0.6</v>
      </c>
      <c r="E24" s="32">
        <v>1.2</v>
      </c>
      <c r="F24" s="3">
        <v>280</v>
      </c>
      <c r="G24" s="3" t="s">
        <v>13</v>
      </c>
      <c r="H24" s="3">
        <f t="shared" ref="H24" si="48">+D24*E24</f>
        <v>0.72</v>
      </c>
      <c r="I24" s="3">
        <f t="shared" ref="I24" si="49">+H24*F24</f>
        <v>201.6</v>
      </c>
      <c r="J24" s="18">
        <v>1056</v>
      </c>
      <c r="K24" s="20">
        <f t="shared" ref="K24" si="50">+J24*I24/1000</f>
        <v>212.8896</v>
      </c>
    </row>
    <row r="25" spans="1:11">
      <c r="A25" s="6">
        <v>46289</v>
      </c>
      <c r="B25" s="6" t="s">
        <v>29</v>
      </c>
      <c r="C25" s="3">
        <v>1</v>
      </c>
      <c r="D25" s="4">
        <v>0.6</v>
      </c>
      <c r="E25" s="32">
        <v>1.2</v>
      </c>
      <c r="F25" s="3">
        <v>280</v>
      </c>
      <c r="G25" s="3" t="s">
        <v>13</v>
      </c>
      <c r="H25" s="3">
        <f t="shared" ref="H25" si="51">+D25*E25</f>
        <v>0.72</v>
      </c>
      <c r="I25" s="3">
        <f t="shared" ref="I25" si="52">+H25*F25</f>
        <v>201.6</v>
      </c>
      <c r="J25" s="18">
        <v>1344</v>
      </c>
      <c r="K25" s="20">
        <f t="shared" ref="K25" si="53">+J25*I25/1000</f>
        <v>270.95039999999995</v>
      </c>
    </row>
    <row r="26" spans="1:11">
      <c r="A26" s="6">
        <v>46289</v>
      </c>
      <c r="B26" s="6" t="s">
        <v>57</v>
      </c>
      <c r="C26" s="3">
        <v>1</v>
      </c>
      <c r="D26" s="4">
        <v>0.6</v>
      </c>
      <c r="E26" s="32">
        <v>1.2</v>
      </c>
      <c r="F26" s="3">
        <v>280</v>
      </c>
      <c r="G26" s="3" t="s">
        <v>13</v>
      </c>
      <c r="H26" s="3">
        <f t="shared" ref="H26" si="54">+D26*E26</f>
        <v>0.72</v>
      </c>
      <c r="I26" s="3">
        <f t="shared" ref="I26" si="55">+H26*F26</f>
        <v>201.6</v>
      </c>
      <c r="J26" s="18">
        <v>480</v>
      </c>
      <c r="K26" s="20">
        <f t="shared" ref="K26" si="56">+J26*I26/1000</f>
        <v>96.768000000000001</v>
      </c>
    </row>
    <row r="27" spans="1:11">
      <c r="A27" s="6">
        <v>46290</v>
      </c>
      <c r="B27" s="6" t="s">
        <v>57</v>
      </c>
      <c r="C27" s="3">
        <v>1</v>
      </c>
      <c r="D27" s="4">
        <v>0.6</v>
      </c>
      <c r="E27" s="32">
        <v>1.2</v>
      </c>
      <c r="F27" s="3">
        <v>280</v>
      </c>
      <c r="G27" s="3" t="s">
        <v>13</v>
      </c>
      <c r="H27" s="3">
        <f t="shared" ref="H27" si="57">+D27*E27</f>
        <v>0.72</v>
      </c>
      <c r="I27" s="3">
        <f t="shared" ref="I27" si="58">+H27*F27</f>
        <v>201.6</v>
      </c>
      <c r="J27" s="18">
        <v>1920</v>
      </c>
      <c r="K27" s="20">
        <f t="shared" ref="K27" si="59">+J27*I27/1000</f>
        <v>387.072</v>
      </c>
    </row>
    <row r="28" spans="1:11">
      <c r="A28" s="6">
        <v>46290</v>
      </c>
      <c r="B28" s="6" t="s">
        <v>114</v>
      </c>
      <c r="C28" s="3">
        <v>1</v>
      </c>
      <c r="D28" s="4">
        <v>0.6</v>
      </c>
      <c r="E28" s="32">
        <v>1.2</v>
      </c>
      <c r="F28" s="3">
        <v>280</v>
      </c>
      <c r="G28" s="3" t="s">
        <v>13</v>
      </c>
      <c r="H28" s="3">
        <f t="shared" ref="H28" si="60">+D28*E28</f>
        <v>0.72</v>
      </c>
      <c r="I28" s="3">
        <f t="shared" ref="I28" si="61">+H28*F28</f>
        <v>201.6</v>
      </c>
      <c r="J28" s="18">
        <v>480</v>
      </c>
      <c r="K28" s="20">
        <f t="shared" ref="K28" si="62">+J28*I28/1000</f>
        <v>96.768000000000001</v>
      </c>
    </row>
    <row r="29" spans="1:11">
      <c r="A29" s="6">
        <v>46291</v>
      </c>
      <c r="B29" s="6" t="s">
        <v>114</v>
      </c>
      <c r="C29" s="3">
        <v>1</v>
      </c>
      <c r="D29" s="4">
        <v>0.6</v>
      </c>
      <c r="E29" s="32">
        <v>1.2</v>
      </c>
      <c r="F29" s="3">
        <v>280</v>
      </c>
      <c r="G29" s="3" t="s">
        <v>13</v>
      </c>
      <c r="H29" s="3">
        <f t="shared" ref="H29" si="63">+D29*E29</f>
        <v>0.72</v>
      </c>
      <c r="I29" s="3">
        <f t="shared" ref="I29" si="64">+H29*F29</f>
        <v>201.6</v>
      </c>
      <c r="J29" s="18">
        <v>720</v>
      </c>
      <c r="K29" s="20">
        <f t="shared" ref="K29" si="65">+J29*I29/1000</f>
        <v>145.15199999999999</v>
      </c>
    </row>
    <row r="30" spans="1:11">
      <c r="A30" s="6">
        <v>46291</v>
      </c>
      <c r="B30" s="6" t="s">
        <v>64</v>
      </c>
      <c r="C30" s="3">
        <v>1</v>
      </c>
      <c r="D30" s="4">
        <v>0.6</v>
      </c>
      <c r="E30" s="32">
        <v>1.2</v>
      </c>
      <c r="F30" s="3">
        <v>280</v>
      </c>
      <c r="G30" s="3" t="s">
        <v>13</v>
      </c>
      <c r="H30" s="3">
        <f t="shared" ref="H30" si="66">+D30*E30</f>
        <v>0.72</v>
      </c>
      <c r="I30" s="3">
        <f t="shared" ref="I30" si="67">+H30*F30</f>
        <v>201.6</v>
      </c>
      <c r="J30" s="18">
        <v>1200</v>
      </c>
      <c r="K30" s="20">
        <f t="shared" ref="K30" si="68">+J30*I30/1000</f>
        <v>241.92</v>
      </c>
    </row>
    <row r="31" spans="1:11">
      <c r="A31" s="6">
        <v>46293</v>
      </c>
      <c r="B31" s="6" t="s">
        <v>103</v>
      </c>
      <c r="C31" s="3">
        <v>1</v>
      </c>
      <c r="D31" s="4">
        <v>0.6</v>
      </c>
      <c r="E31" s="32">
        <v>1.2</v>
      </c>
      <c r="F31" s="3">
        <v>280</v>
      </c>
      <c r="G31" s="3" t="s">
        <v>13</v>
      </c>
      <c r="H31" s="3">
        <f t="shared" ref="H31" si="69">+D31*E31</f>
        <v>0.72</v>
      </c>
      <c r="I31" s="3">
        <f t="shared" ref="I31" si="70">+H31*F31</f>
        <v>201.6</v>
      </c>
      <c r="J31" s="18">
        <v>276</v>
      </c>
      <c r="K31" s="20">
        <f t="shared" ref="K31" si="71">+J31*I31/1000</f>
        <v>55.641599999999997</v>
      </c>
    </row>
    <row r="32" spans="1:11">
      <c r="A32" s="6">
        <v>46294</v>
      </c>
      <c r="B32" s="6" t="s">
        <v>103</v>
      </c>
      <c r="C32" s="3">
        <v>1</v>
      </c>
      <c r="D32" s="4">
        <v>0.6</v>
      </c>
      <c r="E32" s="32">
        <v>1.2</v>
      </c>
      <c r="F32" s="3">
        <v>280</v>
      </c>
      <c r="G32" s="3" t="s">
        <v>13</v>
      </c>
      <c r="H32" s="3">
        <f t="shared" ref="H32" si="72">+D32*E32</f>
        <v>0.72</v>
      </c>
      <c r="I32" s="3">
        <f t="shared" ref="I32" si="73">+H32*F32</f>
        <v>201.6</v>
      </c>
      <c r="J32" s="18">
        <v>915</v>
      </c>
      <c r="K32" s="20">
        <f t="shared" ref="K32" si="74">+J32*I32/1000</f>
        <v>184.464</v>
      </c>
    </row>
    <row r="33" spans="1:11">
      <c r="A33" s="6">
        <v>46294</v>
      </c>
      <c r="B33" s="6" t="s">
        <v>15</v>
      </c>
      <c r="C33" s="3">
        <v>1</v>
      </c>
      <c r="D33" s="4">
        <v>0.6</v>
      </c>
      <c r="E33" s="32">
        <v>1.2</v>
      </c>
      <c r="F33" s="3">
        <v>280</v>
      </c>
      <c r="G33" s="3" t="s">
        <v>13</v>
      </c>
      <c r="H33" s="3">
        <f t="shared" ref="H33" si="75">+D33*E33</f>
        <v>0.72</v>
      </c>
      <c r="I33" s="3">
        <f t="shared" ref="I33" si="76">+H33*F33</f>
        <v>201.6</v>
      </c>
      <c r="J33" s="18">
        <v>900</v>
      </c>
      <c r="K33" s="20">
        <f t="shared" ref="K33" si="77">+J33*I33/1000</f>
        <v>181.44</v>
      </c>
    </row>
    <row r="34" spans="1:11">
      <c r="A34" s="6">
        <v>46295</v>
      </c>
      <c r="B34" s="6" t="s">
        <v>15</v>
      </c>
      <c r="C34" s="3">
        <v>1</v>
      </c>
      <c r="D34" s="4">
        <v>0.6</v>
      </c>
      <c r="E34" s="32">
        <v>1.2</v>
      </c>
      <c r="F34" s="3">
        <v>280</v>
      </c>
      <c r="G34" s="3" t="s">
        <v>13</v>
      </c>
      <c r="H34" s="3">
        <f t="shared" ref="H34" si="78">+D34*E34</f>
        <v>0.72</v>
      </c>
      <c r="I34" s="3">
        <f t="shared" ref="I34" si="79">+H34*F34</f>
        <v>201.6</v>
      </c>
      <c r="J34" s="18"/>
      <c r="K34" s="20">
        <f t="shared" ref="K34" si="80">+J34*I34/1000</f>
        <v>0</v>
      </c>
    </row>
    <row r="35" spans="1:11">
      <c r="A35" s="6">
        <v>46295</v>
      </c>
      <c r="B35" s="6" t="s">
        <v>65</v>
      </c>
      <c r="C35" s="3">
        <v>1</v>
      </c>
      <c r="D35" s="4">
        <v>0.6</v>
      </c>
      <c r="E35" s="32">
        <v>1.2</v>
      </c>
      <c r="F35" s="3">
        <v>280</v>
      </c>
      <c r="G35" s="3" t="s">
        <v>13</v>
      </c>
      <c r="H35" s="3">
        <f t="shared" ref="H35" si="81">+D35*E35</f>
        <v>0.72</v>
      </c>
      <c r="I35" s="3">
        <f t="shared" ref="I35" si="82">+H35*F35</f>
        <v>201.6</v>
      </c>
      <c r="J35" s="18"/>
      <c r="K35" s="20">
        <f t="shared" ref="K35" si="83">+J35*I35/1000</f>
        <v>0</v>
      </c>
    </row>
    <row r="36" spans="1:11">
      <c r="A36" s="6"/>
      <c r="B36" s="6"/>
      <c r="C36" s="3"/>
      <c r="D36" s="4"/>
      <c r="E36" s="5"/>
      <c r="F36" s="3"/>
      <c r="G36" s="3"/>
      <c r="H36" s="3"/>
      <c r="I36" s="3"/>
      <c r="J36" s="18"/>
      <c r="K36" s="20"/>
    </row>
    <row r="37" spans="1:11">
      <c r="A37" s="27" t="s">
        <v>98</v>
      </c>
      <c r="B37" s="6"/>
      <c r="C37" s="3"/>
      <c r="D37" s="4"/>
      <c r="E37" s="5"/>
      <c r="F37" s="3"/>
      <c r="G37" s="3"/>
      <c r="H37" s="3"/>
      <c r="I37" s="3"/>
      <c r="J37" s="33">
        <f>SUM(J2:J36)</f>
        <v>68834</v>
      </c>
      <c r="K37" s="34">
        <f>SUM(K2:K36)</f>
        <v>7898.6466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estampado</dc:creator>
  <cp:lastModifiedBy>estampados</cp:lastModifiedBy>
  <cp:lastPrinted>2026-03-24T21:41:04Z</cp:lastPrinted>
  <dcterms:created xsi:type="dcterms:W3CDTF">2025-05-06T15:26:30Z</dcterms:created>
  <dcterms:modified xsi:type="dcterms:W3CDTF">2026-10-01T21:43:48Z</dcterms:modified>
</cp:coreProperties>
</file>